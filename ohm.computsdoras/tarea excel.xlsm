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-\Desktop\"/>
    </mc:Choice>
  </mc:AlternateContent>
  <xr:revisionPtr revIDLastSave="0" documentId="13_ncr:1_{426EECF5-CC37-4217-8566-F1719416D439}" xr6:coauthVersionLast="47" xr6:coauthVersionMax="47" xr10:uidLastSave="{00000000-0000-0000-0000-000000000000}"/>
  <bookViews>
    <workbookView xWindow="-110" yWindow="-110" windowWidth="19420" windowHeight="10300" firstSheet="1" activeTab="1" xr2:uid="{A19D95D0-C380-4579-906A-865F052FA377}"/>
  </bookViews>
  <sheets>
    <sheet name="Hoja1" sheetId="1" r:id="rId1"/>
    <sheet name="Hoja3" sheetId="8" r:id="rId2"/>
    <sheet name="Hoja2" sheetId="2" r:id="rId3"/>
    <sheet name="Hoja6" sheetId="6" r:id="rId4"/>
    <sheet name="trasponer" sheetId="3" r:id="rId5"/>
    <sheet name="formato" sheetId="4" r:id="rId6"/>
    <sheet name="Hoja5" sheetId="5" r:id="rId7"/>
    <sheet name="factura" sheetId="7" r:id="rId8"/>
  </sheets>
  <functionGroups builtInGroupCount="19"/>
  <definedNames>
    <definedName name="_xlnm._FilterDatabase" localSheetId="0" hidden="1">Hoja1!$B$8:$F$208</definedName>
    <definedName name="_xlnm._FilterDatabase" localSheetId="2" hidden="1">Hoja2!$J$8:$J$208</definedName>
    <definedName name="_xlnm.Criteria" localSheetId="0">Hoja1!$B$3:$F$4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9" i="7" l="1"/>
  <c r="H16" i="7"/>
  <c r="H11" i="7"/>
  <c r="H24" i="7"/>
  <c r="H23" i="7"/>
  <c r="H22" i="7"/>
  <c r="H21" i="7"/>
  <c r="H20" i="7"/>
  <c r="H19" i="7"/>
  <c r="H18" i="7"/>
  <c r="H17" i="7"/>
  <c r="H15" i="7"/>
  <c r="H14" i="7"/>
  <c r="J9" i="1"/>
  <c r="J5" i="5"/>
  <c r="G7" i="5"/>
  <c r="G8" i="5"/>
  <c r="G5" i="5"/>
  <c r="F7" i="5"/>
  <c r="F8" i="5"/>
  <c r="F5" i="5"/>
  <c r="D6" i="5"/>
  <c r="F6" i="5" s="1"/>
  <c r="G6" i="5" s="1"/>
  <c r="K4" i="4"/>
  <c r="J4" i="4"/>
  <c r="I8" i="6"/>
  <c r="I11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6" i="6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9" i="2"/>
  <c r="H10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K6" i="4"/>
  <c r="K7" i="4"/>
  <c r="J6" i="4"/>
  <c r="J7" i="4"/>
  <c r="I5" i="4"/>
  <c r="J5" i="4" s="1"/>
  <c r="B6" i="3"/>
  <c r="H25" i="7" l="1"/>
  <c r="H27" i="7" s="1"/>
  <c r="H31" i="7"/>
  <c r="K5" i="4"/>
</calcChain>
</file>

<file path=xl/sharedStrings.xml><?xml version="1.0" encoding="utf-8"?>
<sst xmlns="http://schemas.openxmlformats.org/spreadsheetml/2006/main" count="1339" uniqueCount="96">
  <si>
    <t>ID</t>
  </si>
  <si>
    <t>Vendedor</t>
  </si>
  <si>
    <t>Producto</t>
  </si>
  <si>
    <t>Precio</t>
  </si>
  <si>
    <t>Mes</t>
  </si>
  <si>
    <t>Maca Prabo</t>
  </si>
  <si>
    <t>Móvil</t>
  </si>
  <si>
    <t>Enero</t>
  </si>
  <si>
    <t>Tablet</t>
  </si>
  <si>
    <t>Merk Adona</t>
  </si>
  <si>
    <t>PS4</t>
  </si>
  <si>
    <t>Marzo</t>
  </si>
  <si>
    <t>Carl Refur</t>
  </si>
  <si>
    <t>Anti-Virus</t>
  </si>
  <si>
    <t>Mikal Campo</t>
  </si>
  <si>
    <t>Auriculares</t>
  </si>
  <si>
    <t>Febrero</t>
  </si>
  <si>
    <t>PC</t>
  </si>
  <si>
    <t>Hasan Chezro Mero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</si>
  <si>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</si>
  <si>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</si>
  <si>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</si>
  <si>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</si>
  <si>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</si>
  <si>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</si>
  <si>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</si>
  <si>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</si>
  <si>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</si>
  <si>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</si>
  <si>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</si>
  <si>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</si>
  <si>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numero</t>
  </si>
  <si>
    <t>DIAS</t>
  </si>
  <si>
    <t>MES</t>
  </si>
  <si>
    <t>PRODUCTO</t>
  </si>
  <si>
    <t>VIGENCIA EN MESES</t>
  </si>
  <si>
    <t>EXPIRACIÓN</t>
  </si>
  <si>
    <t>FECHA ELABORACIÓN</t>
  </si>
  <si>
    <t>PRODUC  01</t>
  </si>
  <si>
    <t>PRODUC  02</t>
  </si>
  <si>
    <t>PRODUC  03</t>
  </si>
  <si>
    <t>PRODUC  04</t>
  </si>
  <si>
    <t xml:space="preserve">encontrar </t>
  </si>
  <si>
    <t>prestamo</t>
  </si>
  <si>
    <t>duracion(meses)</t>
  </si>
  <si>
    <t>tasa interes</t>
  </si>
  <si>
    <t>dias laborables</t>
  </si>
  <si>
    <t>cuota</t>
  </si>
  <si>
    <t xml:space="preserve"> </t>
  </si>
  <si>
    <t>nombre</t>
  </si>
  <si>
    <t>apellido</t>
  </si>
  <si>
    <t>cedula</t>
  </si>
  <si>
    <t>carlos</t>
  </si>
  <si>
    <t>arevalo</t>
  </si>
  <si>
    <t>ertyui</t>
  </si>
  <si>
    <t>fasdfsds</t>
  </si>
  <si>
    <t>swdfgh</t>
  </si>
  <si>
    <t>sdfvadv</t>
  </si>
  <si>
    <t>sdvdfv</t>
  </si>
  <si>
    <t>ENCONTRAR</t>
  </si>
  <si>
    <t>SI(B11-B10=1;"-";"Aquí ---")</t>
  </si>
  <si>
    <t>aasd</t>
  </si>
  <si>
    <t>vdsgfdg</t>
  </si>
  <si>
    <t>cfdgdfg</t>
  </si>
  <si>
    <t>bdfgdf</t>
  </si>
  <si>
    <t>adfg</t>
  </si>
  <si>
    <t>CTRL L</t>
  </si>
  <si>
    <t>VENDEDOR</t>
  </si>
  <si>
    <t>&lt;Dirección&gt;</t>
  </si>
  <si>
    <t>&lt;Sitio Web, Email&gt;</t>
  </si>
  <si>
    <t>&lt;Teléfono&gt;</t>
  </si>
  <si>
    <t>Cliente</t>
  </si>
  <si>
    <t>Envie a</t>
  </si>
  <si>
    <t>Factura</t>
  </si>
  <si>
    <t>&lt;Nombre del cliente&gt;</t>
  </si>
  <si>
    <t>&lt;Nombre de contacto&gt;</t>
  </si>
  <si>
    <t>Fecha</t>
  </si>
  <si>
    <t>&lt;DNI/CIF&gt;</t>
  </si>
  <si>
    <t>&lt;Departamento&gt;</t>
  </si>
  <si>
    <t>&lt;Teléfono, Email&gt;</t>
  </si>
  <si>
    <t>Descripción</t>
  </si>
  <si>
    <t>Unidades</t>
  </si>
  <si>
    <t>Precio Unitario</t>
  </si>
  <si>
    <t>Total parcial</t>
  </si>
  <si>
    <t>Observaciones / Instrucciones de pago:</t>
  </si>
  <si>
    <t>Descuento</t>
  </si>
  <si>
    <t>Subtotal menos descuento</t>
  </si>
  <si>
    <t>IVA</t>
  </si>
  <si>
    <t>Total impuestos</t>
  </si>
  <si>
    <t>Envío</t>
  </si>
  <si>
    <t>TOTAL FACTURA</t>
  </si>
  <si>
    <t>Términos y Instrucciones</t>
  </si>
  <si>
    <t>&lt;Condiciones de pago (vencidas en el recibo, vencidas en X días)&gt;</t>
  </si>
  <si>
    <t xml:space="preserve"> #001</t>
  </si>
  <si>
    <t>CB-DENTAL DESING</t>
  </si>
  <si>
    <t>0150746619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</si>
</sst>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 &quot;$&quot;* #,##0.00_ ;_ &quot;$&quot;* \-#,##0.00_ ;_ &quot;$&quot;* &quot;-&quot;??_ ;_ @_ "/>
    <numFmt numFmtId="164" formatCode="&quot;$&quot;#,##0.00"/>
    <numFmt numFmtId="165" formatCode="[Color10][&gt;=0]0.00* ;[Color9][&lt;0]General;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Roboto"/>
    </font>
    <font>
      <sz val="24"/>
      <color rgb="FF666666"/>
      <name val="Roboto"/>
    </font>
    <font>
      <sz val="24"/>
      <color rgb="FF1155CC"/>
      <name val="Roboto"/>
    </font>
    <font>
      <sz val="11"/>
      <color rgb="FF333F4F"/>
      <name val="Roboto"/>
    </font>
    <font>
      <sz val="10"/>
      <name val="Roboto"/>
    </font>
    <font>
      <sz val="10"/>
      <name val="Arial"/>
      <family val="2"/>
    </font>
    <font>
      <sz val="10"/>
      <color rgb="FF000000"/>
      <name val="Roboto"/>
    </font>
    <font>
      <b/>
      <sz val="9"/>
      <color rgb="FF1155CC"/>
      <name val="Roboto"/>
    </font>
    <font>
      <b/>
      <sz val="9"/>
      <color rgb="FF000000"/>
      <name val="Roboto"/>
    </font>
    <font>
      <sz val="9"/>
      <color rgb="FF000000"/>
      <name val="Roboto"/>
    </font>
    <font>
      <b/>
      <sz val="10"/>
      <color rgb="FF000000"/>
      <name val="Roboto"/>
    </font>
    <font>
      <b/>
      <sz val="9"/>
      <color rgb="FFFFFFFF"/>
      <name val="Roboto"/>
    </font>
    <font>
      <b/>
      <sz val="12"/>
      <color rgb="FF333F4F"/>
      <name val="Roboto"/>
    </font>
    <font>
      <b/>
      <sz val="9"/>
      <color rgb="FF333F4F"/>
      <name val="Roboto"/>
    </font>
    <font>
      <sz val="18"/>
      <color rgb="FF333F4F"/>
      <name val="Roboto"/>
    </font>
    <font>
      <b/>
      <sz val="12"/>
      <color rgb="FF1155CC"/>
      <name val="Roboto"/>
    </font>
    <font>
      <b/>
      <sz val="12"/>
      <name val="Roboto"/>
    </font>
    <font>
      <sz val="9"/>
      <color rgb="FF333F4F"/>
      <name val="Roboto"/>
    </font>
    <font>
      <sz val="24"/>
      <color theme="1"/>
      <name val="Arial Rounded MT Bold"/>
      <family val="2"/>
    </font>
  </fonts>
  <fills count="1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155CC"/>
        <bgColor rgb="FF1155CC"/>
      </patternFill>
    </fill>
    <fill>
      <patternFill patternType="solid">
        <fgColor rgb="FFF3F3F3"/>
        <bgColor rgb="FFF3F3F3"/>
      </patternFill>
    </fill>
    <fill>
      <patternFill patternType="solid">
        <fgColor rgb="FFC9DAF8"/>
        <bgColor rgb="FFC9DAF8"/>
      </patternFill>
    </fill>
  </fills>
  <borders count="3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6">
    <xf numFmtId="0" fontId="0" fillId="0" borderId="0" xfId="0"/>
    <xf numFmtId="0" fontId="2" fillId="2" borderId="0" xfId="0" applyFont="1" applyFill="1"/>
    <xf numFmtId="164" fontId="2" fillId="2" borderId="0" xfId="0" applyNumberFormat="1" applyFont="1" applyFill="1"/>
    <xf numFmtId="164" fontId="0" fillId="0" borderId="0" xfId="1" applyNumberFormat="1" applyFont="1"/>
    <xf numFmtId="164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164" fontId="2" fillId="2" borderId="6" xfId="0" applyNumberFormat="1" applyFont="1" applyFill="1" applyBorder="1"/>
    <xf numFmtId="0" fontId="2" fillId="2" borderId="7" xfId="0" applyFont="1" applyFill="1" applyBorder="1"/>
    <xf numFmtId="0" fontId="0" fillId="0" borderId="8" xfId="0" applyBorder="1"/>
    <xf numFmtId="0" fontId="0" fillId="0" borderId="9" xfId="0" applyBorder="1"/>
    <xf numFmtId="164" fontId="0" fillId="0" borderId="9" xfId="0" applyNumberFormat="1" applyBorder="1"/>
    <xf numFmtId="0" fontId="0" fillId="0" borderId="10" xfId="0" applyBorder="1"/>
    <xf numFmtId="0" fontId="0" fillId="3" borderId="4" xfId="0" applyFill="1" applyBorder="1"/>
    <xf numFmtId="44" fontId="0" fillId="0" borderId="4" xfId="1" applyFont="1" applyBorder="1"/>
    <xf numFmtId="165" fontId="0" fillId="3" borderId="4" xfId="0" applyNumberFormat="1" applyFill="1" applyBorder="1"/>
    <xf numFmtId="165" fontId="0" fillId="0" borderId="4" xfId="0" applyNumberFormat="1" applyBorder="1"/>
    <xf numFmtId="14" fontId="0" fillId="0" borderId="0" xfId="0" applyNumberFormat="1"/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14" fontId="0" fillId="0" borderId="1" xfId="0" applyNumberFormat="1" applyFont="1" applyBorder="1"/>
    <xf numFmtId="14" fontId="0" fillId="0" borderId="11" xfId="0" applyNumberFormat="1" applyFont="1" applyBorder="1"/>
    <xf numFmtId="14" fontId="0" fillId="0" borderId="4" xfId="0" applyNumberFormat="1" applyBorder="1"/>
    <xf numFmtId="0" fontId="0" fillId="5" borderId="4" xfId="0" applyFill="1" applyBorder="1"/>
    <xf numFmtId="9" fontId="0" fillId="0" borderId="4" xfId="0" applyNumberFormat="1" applyBorder="1"/>
    <xf numFmtId="0" fontId="0" fillId="0" borderId="0" xfId="0" applyBorder="1"/>
    <xf numFmtId="0" fontId="0" fillId="6" borderId="0" xfId="0" applyFill="1" applyBorder="1"/>
    <xf numFmtId="0" fontId="0" fillId="7" borderId="0" xfId="0" applyFill="1" applyBorder="1"/>
    <xf numFmtId="0" fontId="0" fillId="0" borderId="0" xfId="0" applyFont="1" applyFill="1" applyBorder="1"/>
    <xf numFmtId="164" fontId="0" fillId="0" borderId="0" xfId="0" applyNumberFormat="1" applyFont="1" applyFill="1" applyBorder="1"/>
    <xf numFmtId="164" fontId="0" fillId="0" borderId="0" xfId="1" applyNumberFormat="1" applyFont="1" applyFill="1" applyBorder="1"/>
    <xf numFmtId="0" fontId="5" fillId="0" borderId="4" xfId="0" applyFont="1" applyBorder="1" applyAlignment="1">
      <alignment vertical="center"/>
    </xf>
    <xf numFmtId="0" fontId="12" fillId="0" borderId="4" xfId="0" applyFont="1" applyBorder="1" applyAlignment="1">
      <alignment horizontal="left" vertical="center"/>
    </xf>
    <xf numFmtId="0" fontId="11" fillId="0" borderId="4" xfId="0" applyFont="1" applyBorder="1" applyAlignment="1">
      <alignment horizontal="left" vertical="center"/>
    </xf>
    <xf numFmtId="0" fontId="11" fillId="0" borderId="4" xfId="0" applyFont="1" applyBorder="1" applyAlignment="1">
      <alignment vertical="center"/>
    </xf>
    <xf numFmtId="0" fontId="16" fillId="8" borderId="4" xfId="0" applyFont="1" applyFill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0" borderId="4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7" fillId="0" borderId="4" xfId="0" applyFont="1" applyBorder="1" applyAlignment="1">
      <alignment horizontal="right"/>
    </xf>
    <xf numFmtId="0" fontId="18" fillId="0" borderId="4" xfId="0" applyFont="1" applyBorder="1" applyAlignment="1">
      <alignment horizontal="right" vertical="center"/>
    </xf>
    <xf numFmtId="0" fontId="20" fillId="0" borderId="4" xfId="0" applyFont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16" fillId="8" borderId="21" xfId="0" applyFont="1" applyFill="1" applyBorder="1" applyAlignment="1">
      <alignment horizontal="center" vertical="center"/>
    </xf>
    <xf numFmtId="2" fontId="14" fillId="0" borderId="21" xfId="0" applyNumberFormat="1" applyFont="1" applyBorder="1" applyAlignment="1">
      <alignment horizontal="right" vertical="center"/>
    </xf>
    <xf numFmtId="2" fontId="14" fillId="0" borderId="21" xfId="0" applyNumberFormat="1" applyFont="1" applyBorder="1" applyAlignment="1">
      <alignment vertical="center"/>
    </xf>
    <xf numFmtId="0" fontId="6" fillId="0" borderId="20" xfId="0" applyFont="1" applyBorder="1" applyAlignment="1">
      <alignment horizontal="center" vertical="center" textRotation="90"/>
    </xf>
    <xf numFmtId="10" fontId="14" fillId="0" borderId="21" xfId="0" applyNumberFormat="1" applyFont="1" applyBorder="1" applyAlignment="1">
      <alignment vertical="center"/>
    </xf>
    <xf numFmtId="4" fontId="14" fillId="0" borderId="21" xfId="0" applyNumberFormat="1" applyFont="1" applyBorder="1" applyAlignment="1">
      <alignment vertical="center"/>
    </xf>
    <xf numFmtId="164" fontId="21" fillId="10" borderId="21" xfId="1" applyNumberFormat="1" applyFont="1" applyFill="1" applyBorder="1" applyAlignment="1">
      <alignment vertical="center"/>
    </xf>
    <xf numFmtId="0" fontId="5" fillId="0" borderId="21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textRotation="90"/>
    </xf>
    <xf numFmtId="0" fontId="10" fillId="0" borderId="4" xfId="0" applyFont="1" applyBorder="1"/>
    <xf numFmtId="0" fontId="15" fillId="0" borderId="4" xfId="0" applyFont="1" applyBorder="1" applyAlignment="1">
      <alignment horizontal="left" vertical="center"/>
    </xf>
    <xf numFmtId="49" fontId="5" fillId="0" borderId="4" xfId="0" applyNumberFormat="1" applyFont="1" applyBorder="1" applyAlignment="1">
      <alignment vertical="center"/>
    </xf>
    <xf numFmtId="0" fontId="14" fillId="9" borderId="4" xfId="0" applyFont="1" applyFill="1" applyBorder="1" applyAlignment="1">
      <alignment horizontal="left" vertical="center"/>
    </xf>
    <xf numFmtId="0" fontId="10" fillId="0" borderId="4" xfId="0" applyFont="1" applyBorder="1"/>
    <xf numFmtId="0" fontId="14" fillId="9" borderId="4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top" textRotation="90"/>
    </xf>
    <xf numFmtId="0" fontId="0" fillId="0" borderId="20" xfId="0" applyBorder="1"/>
    <xf numFmtId="0" fontId="11" fillId="0" borderId="4" xfId="0" applyFont="1" applyBorder="1" applyAlignment="1">
      <alignment horizontal="left" vertical="center"/>
    </xf>
    <xf numFmtId="0" fontId="0" fillId="0" borderId="4" xfId="0" applyBorder="1"/>
    <xf numFmtId="0" fontId="16" fillId="8" borderId="4" xfId="0" applyFont="1" applyFill="1" applyBorder="1" applyAlignment="1">
      <alignment horizontal="center" vertical="center"/>
    </xf>
    <xf numFmtId="0" fontId="14" fillId="0" borderId="4" xfId="0" applyFont="1" applyBorder="1" applyAlignment="1">
      <alignment horizontal="left" vertical="center"/>
    </xf>
    <xf numFmtId="0" fontId="7" fillId="0" borderId="20" xfId="0" applyFont="1" applyBorder="1" applyAlignment="1">
      <alignment horizontal="center" textRotation="90"/>
    </xf>
    <xf numFmtId="0" fontId="8" fillId="0" borderId="17" xfId="0" applyFont="1" applyBorder="1" applyAlignment="1">
      <alignment horizontal="left" vertical="center"/>
    </xf>
    <xf numFmtId="0" fontId="8" fillId="0" borderId="18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14" fillId="0" borderId="4" xfId="0" applyFont="1" applyBorder="1" applyAlignment="1">
      <alignment horizontal="center" vertical="center"/>
    </xf>
    <xf numFmtId="0" fontId="22" fillId="0" borderId="9" xfId="0" applyFont="1" applyBorder="1" applyAlignment="1">
      <alignment horizontal="left" vertical="center"/>
    </xf>
    <xf numFmtId="0" fontId="0" fillId="0" borderId="9" xfId="0" applyBorder="1"/>
    <xf numFmtId="0" fontId="0" fillId="0" borderId="10" xfId="0" applyBorder="1"/>
    <xf numFmtId="0" fontId="11" fillId="0" borderId="4" xfId="0" applyFont="1" applyBorder="1" applyAlignment="1">
      <alignment horizontal="center" vertical="top" wrapText="1"/>
    </xf>
    <xf numFmtId="0" fontId="19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21" xfId="0" applyBorder="1"/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8" fillId="0" borderId="18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2" xfId="0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8" fillId="0" borderId="17" xfId="0" applyFont="1" applyBorder="1" applyAlignment="1">
      <alignment horizontal="left" vertical="center" wrapText="1"/>
    </xf>
    <xf numFmtId="0" fontId="8" fillId="0" borderId="18" xfId="0" applyFont="1" applyBorder="1" applyAlignment="1">
      <alignment horizontal="left" vertical="center" wrapText="1"/>
    </xf>
    <xf numFmtId="0" fontId="23" fillId="0" borderId="22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398317</xdr:colOff>
      <xdr:row>2</xdr:row>
      <xdr:rowOff>75045</xdr:rowOff>
    </xdr:from>
    <xdr:to>
      <xdr:col>7</xdr:col>
      <xdr:colOff>600363</xdr:colOff>
      <xdr:row>3</xdr:row>
      <xdr:rowOff>86590</xdr:rowOff>
    </xdr:to>
    <xdr:sp macro="[0]!insertar_filtro" textlink="">
      <xdr:nvSpPr>
        <xdr:cNvPr id="2" name="Elipse 1">
          <a:extLst>
            <a:ext uri="{FF2B5EF4-FFF2-40B4-BE49-F238E27FC236}">
              <a16:creationId xmlns:a16="http://schemas.microsoft.com/office/drawing/2014/main" id="{4C5E95D4-DBB5-467D-8ECB-3F7BB890861A}"/>
            </a:ext>
          </a:extLst>
        </xdr:cNvPr>
        <xdr:cNvSpPr/>
      </xdr:nvSpPr>
      <xdr:spPr>
        <a:xfrm>
          <a:off x="5253181" y="450272"/>
          <a:ext cx="964046" cy="248227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177800</xdr:colOff>
      <xdr:row>3</xdr:row>
      <xdr:rowOff>44450</xdr:rowOff>
    </xdr:from>
    <xdr:to>
      <xdr:col>6</xdr:col>
      <xdr:colOff>247650</xdr:colOff>
      <xdr:row>5</xdr:row>
      <xdr:rowOff>6350</xdr:rowOff>
    </xdr:to>
    <xdr:sp macro="[0]!insertar" textlink="">
      <xdr:nvSpPr>
        <xdr:cNvPr id="2" name="Rectángulo 1">
          <a:extLst>
            <a:ext uri="{FF2B5EF4-FFF2-40B4-BE49-F238E27FC236}">
              <a16:creationId xmlns:a16="http://schemas.microsoft.com/office/drawing/2014/main" id="{57DEB658-FEFB-46C1-8061-1C645377A779}"/>
            </a:ext>
          </a:extLst>
        </xdr:cNvPr>
        <xdr:cNvSpPr/>
      </xdr:nvSpPr>
      <xdr:spPr>
        <a:xfrm>
          <a:off x="3987800" y="596900"/>
          <a:ext cx="831850" cy="3302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6</xdr:col>
      <xdr:colOff>660400</xdr:colOff>
      <xdr:row>2</xdr:row>
      <xdr:rowOff>82550</xdr:rowOff>
    </xdr:from>
    <xdr:to>
      <xdr:col>8</xdr:col>
      <xdr:colOff>419100</xdr:colOff>
      <xdr:row>5</xdr:row>
      <xdr:rowOff>76200</xdr:rowOff>
    </xdr:to>
    <xdr:sp macro="[0]!borra_contenido" textlink="">
      <xdr:nvSpPr>
        <xdr:cNvPr id="4" name="Explosión: 14 puntos 3">
          <a:extLst>
            <a:ext uri="{FF2B5EF4-FFF2-40B4-BE49-F238E27FC236}">
              <a16:creationId xmlns:a16="http://schemas.microsoft.com/office/drawing/2014/main" id="{30A4383A-9D8A-498F-8AB9-51510BA89C7B}"/>
            </a:ext>
          </a:extLst>
        </xdr:cNvPr>
        <xdr:cNvSpPr/>
      </xdr:nvSpPr>
      <xdr:spPr>
        <a:xfrm>
          <a:off x="5232400" y="450850"/>
          <a:ext cx="1282700" cy="546100"/>
        </a:xfrm>
        <a:prstGeom prst="irregularSeal2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borrar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0</xdr:rowOff>
    </xdr:from>
    <xdr:to>
      <xdr:col>7</xdr:col>
      <xdr:colOff>660400</xdr:colOff>
      <xdr:row>9</xdr:row>
      <xdr:rowOff>0</xdr:rowOff>
    </xdr:to>
    <xdr:sp macro="" textlink="">
      <xdr:nvSpPr>
        <xdr:cNvPr id="5" name="Hexágono 4">
          <a:extLst>
            <a:ext uri="{FF2B5EF4-FFF2-40B4-BE49-F238E27FC236}">
              <a16:creationId xmlns:a16="http://schemas.microsoft.com/office/drawing/2014/main" id="{16493AC4-18C1-4478-BA34-A4727E2ABC18}"/>
            </a:ext>
          </a:extLst>
        </xdr:cNvPr>
        <xdr:cNvSpPr/>
      </xdr:nvSpPr>
      <xdr:spPr>
        <a:xfrm>
          <a:off x="4660900" y="742950"/>
          <a:ext cx="1333500" cy="1117600"/>
        </a:xfrm>
        <a:prstGeom prst="hexagon">
          <a:avLst/>
        </a:prstGeom>
        <a:blipFill>
          <a:blip xmlns:r="http://schemas.openxmlformats.org/officeDocument/2006/relationships" r:embed="rId1"/>
          <a:stretch>
            <a:fillRect/>
          </a:stretch>
        </a:blip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oneCellAnchor>
    <xdr:from>
      <xdr:col>5</xdr:col>
      <xdr:colOff>609309</xdr:colOff>
      <xdr:row>6</xdr:row>
      <xdr:rowOff>347160</xdr:rowOff>
    </xdr:from>
    <xdr:ext cx="184731" cy="937629"/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23551B2A-1CF4-49FC-9ECF-F1775403B871}"/>
            </a:ext>
          </a:extLst>
        </xdr:cNvPr>
        <xdr:cNvSpPr/>
      </xdr:nvSpPr>
      <xdr:spPr>
        <a:xfrm>
          <a:off x="4419309" y="1458410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s-ES" sz="54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twoCellAnchor>
    <xdr:from>
      <xdr:col>8</xdr:col>
      <xdr:colOff>584200</xdr:colOff>
      <xdr:row>2</xdr:row>
      <xdr:rowOff>107950</xdr:rowOff>
    </xdr:from>
    <xdr:to>
      <xdr:col>10</xdr:col>
      <xdr:colOff>298450</xdr:colOff>
      <xdr:row>4</xdr:row>
      <xdr:rowOff>120650</xdr:rowOff>
    </xdr:to>
    <xdr:sp macro="[0]!verificar" textlink="">
      <xdr:nvSpPr>
        <xdr:cNvPr id="2" name="Elipse 1">
          <a:extLst>
            <a:ext uri="{FF2B5EF4-FFF2-40B4-BE49-F238E27FC236}">
              <a16:creationId xmlns:a16="http://schemas.microsoft.com/office/drawing/2014/main" id="{8F148737-FA13-4D0C-A152-51576BFA400D}"/>
            </a:ext>
          </a:extLst>
        </xdr:cNvPr>
        <xdr:cNvSpPr/>
      </xdr:nvSpPr>
      <xdr:spPr>
        <a:xfrm>
          <a:off x="6946900" y="482600"/>
          <a:ext cx="1238250" cy="381000"/>
        </a:xfrm>
        <a:prstGeom prst="ellips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Verificar</a:t>
          </a:r>
          <a:r>
            <a:rPr lang="es-EC" sz="1100" baseline="0"/>
            <a:t> CI.</a:t>
          </a:r>
          <a:endParaRPr lang="es-EC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60407E-912C-4FE6-86AE-CE4D23A7BDCC}" name="Tabla1" displayName="Tabla1" ref="B8:F208" totalsRowShown="0">
  <tableColumns count="5">
    <tableColumn id="1" xr3:uid="{C00CDFD1-50FC-4755-A53C-C4553586FCB6}" name="ID"/>
    <tableColumn id="2" xr3:uid="{95F709FF-2F36-4820-9DBA-82451E37264E}" name="Vendedor"/>
    <tableColumn id="3" xr3:uid="{053736B0-7F0E-47F6-A5A7-6E1915C7C450}" name="Producto"/>
    <tableColumn id="4" xr3:uid="{8FD04FC9-D838-4CFC-BD00-B110448C4E81}" name="Precio"/>
    <tableColumn id="5" xr3:uid="{BFA8921D-1430-4195-895B-705D7727E2F8}" name="Mes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D79755-70F5-40B3-A839-81213DE414DE}" name="Tabla13" displayName="Tabla13" ref="B8:F209" totalsRowShown="0" headerRowDxfId="3">
  <tableColumns count="5">
    <tableColumn id="1" xr3:uid="{64553DE1-BEFF-4D3D-977D-F6A34ABA3FC5}" name="ID"/>
    <tableColumn id="2" xr3:uid="{AC5A8844-4C0C-42DD-A29D-79AA8201FFB9}" name="Vendedor"/>
    <tableColumn id="3" xr3:uid="{395640AB-C3CC-4B31-84CE-D379DB30EA5C}" name="Producto"/>
    <tableColumn id="4" xr3:uid="{BB4B374E-75FA-4E46-BC1A-26F14C421C69}" name="Precio" dataDxfId="2" dataCellStyle="Moneda"/>
    <tableColumn id="5" xr3:uid="{D64E8DBF-AAE6-49A5-85F8-7395DCE4EE68}" name="M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622C0-6945-425B-B958-B37F6C111983}">
  <sheetPr codeName="Hoja1"/>
  <dimension ref="B2:J208"/>
  <sheetViews>
    <sheetView zoomScale="110" zoomScaleNormal="110" workbookViewId="0">
      <selection activeCell="I11" sqref="I11"/>
    </sheetView>
  </sheetViews>
  <sheetFormatPr baseColWidth="10" defaultRowHeight="14.5" x14ac:dyDescent="0.35"/>
  <cols>
    <col min="3" max="3" width="13.26953125" customWidth="1"/>
    <col min="4" max="4" width="12.54296875" customWidth="1"/>
    <col min="5" max="5" width="10.90625" style="4"/>
  </cols>
  <sheetData>
    <row r="2" spans="2:10" ht="15" thickBot="1" x14ac:dyDescent="0.4"/>
    <row r="3" spans="2:10" ht="18.5" x14ac:dyDescent="0.45">
      <c r="B3" s="8" t="s">
        <v>0</v>
      </c>
      <c r="C3" s="9" t="s">
        <v>1</v>
      </c>
      <c r="D3" s="9" t="s">
        <v>2</v>
      </c>
      <c r="E3" s="10" t="s">
        <v>3</v>
      </c>
      <c r="F3" s="11" t="s">
        <v>4</v>
      </c>
    </row>
    <row r="4" spans="2:10" ht="15" thickBot="1" x14ac:dyDescent="0.4">
      <c r="B4" s="12"/>
      <c r="C4" s="13"/>
      <c r="D4" s="13"/>
      <c r="E4" s="14"/>
      <c r="F4" s="15"/>
    </row>
    <row r="8" spans="2:10" x14ac:dyDescent="0.35">
      <c r="B8" s="32" t="s">
        <v>0</v>
      </c>
      <c r="C8" s="32" t="s">
        <v>1</v>
      </c>
      <c r="D8" s="32" t="s">
        <v>2</v>
      </c>
      <c r="E8" s="33" t="s">
        <v>3</v>
      </c>
      <c r="F8" s="32" t="s">
        <v>4</v>
      </c>
      <c r="I8" s="7" t="s">
        <v>0</v>
      </c>
      <c r="J8" s="7">
        <v>3</v>
      </c>
    </row>
    <row r="9" spans="2:10" x14ac:dyDescent="0.35">
      <c r="B9" s="32">
        <v>1</v>
      </c>
      <c r="C9" s="32" t="s">
        <v>5</v>
      </c>
      <c r="D9" s="32" t="s">
        <v>6</v>
      </c>
      <c r="E9" s="34">
        <v>250</v>
      </c>
      <c r="F9" s="32" t="s">
        <v>7</v>
      </c>
      <c r="I9" s="7" t="s">
        <v>67</v>
      </c>
      <c r="J9" s="7" t="str">
        <f>VLOOKUP(J8,Tabla1[],2,FALSE)</f>
        <v>Merk Adona</v>
      </c>
    </row>
    <row r="10" spans="2:10" x14ac:dyDescent="0.35">
      <c r="B10" s="32">
        <v>2</v>
      </c>
      <c r="C10" s="32" t="s">
        <v>5</v>
      </c>
      <c r="D10" s="32" t="s">
        <v>8</v>
      </c>
      <c r="E10" s="34">
        <v>350</v>
      </c>
      <c r="F10" s="32" t="s">
        <v>7</v>
      </c>
    </row>
    <row r="11" spans="2:10" x14ac:dyDescent="0.35">
      <c r="B11" s="32">
        <v>3</v>
      </c>
      <c r="C11" s="32" t="s">
        <v>9</v>
      </c>
      <c r="D11" s="32" t="s">
        <v>10</v>
      </c>
      <c r="E11" s="34">
        <v>400</v>
      </c>
      <c r="F11" s="32" t="s">
        <v>11</v>
      </c>
    </row>
    <row r="12" spans="2:10" x14ac:dyDescent="0.35">
      <c r="B12" s="32">
        <v>4</v>
      </c>
      <c r="C12" s="32" t="s">
        <v>12</v>
      </c>
      <c r="D12" s="32" t="s">
        <v>8</v>
      </c>
      <c r="E12" s="34">
        <v>350</v>
      </c>
      <c r="F12" s="32" t="s">
        <v>11</v>
      </c>
    </row>
    <row r="13" spans="2:10" x14ac:dyDescent="0.35">
      <c r="B13" s="32">
        <v>5</v>
      </c>
      <c r="C13" s="32" t="s">
        <v>9</v>
      </c>
      <c r="D13" s="32" t="s">
        <v>13</v>
      </c>
      <c r="E13" s="34">
        <v>130</v>
      </c>
      <c r="F13" s="32" t="s">
        <v>7</v>
      </c>
    </row>
    <row r="14" spans="2:10" x14ac:dyDescent="0.35">
      <c r="B14" s="32">
        <v>6</v>
      </c>
      <c r="C14" s="32" t="s">
        <v>14</v>
      </c>
      <c r="D14" s="32" t="s">
        <v>15</v>
      </c>
      <c r="E14" s="34">
        <v>25</v>
      </c>
      <c r="F14" s="32" t="s">
        <v>16</v>
      </c>
    </row>
    <row r="15" spans="2:10" x14ac:dyDescent="0.35">
      <c r="B15" s="32">
        <v>7</v>
      </c>
      <c r="C15" s="32" t="s">
        <v>5</v>
      </c>
      <c r="D15" s="32" t="s">
        <v>10</v>
      </c>
      <c r="E15" s="34">
        <v>400</v>
      </c>
      <c r="F15" s="32" t="s">
        <v>7</v>
      </c>
    </row>
    <row r="16" spans="2:10" x14ac:dyDescent="0.35">
      <c r="B16" s="32">
        <v>8</v>
      </c>
      <c r="C16" s="32" t="s">
        <v>14</v>
      </c>
      <c r="D16" s="32" t="s">
        <v>17</v>
      </c>
      <c r="E16" s="34">
        <v>600</v>
      </c>
      <c r="F16" s="32" t="s">
        <v>16</v>
      </c>
    </row>
    <row r="17" spans="2:6" x14ac:dyDescent="0.35">
      <c r="B17" s="32">
        <v>9</v>
      </c>
      <c r="C17" s="32" t="s">
        <v>14</v>
      </c>
      <c r="D17" s="32" t="s">
        <v>13</v>
      </c>
      <c r="E17" s="34">
        <v>130</v>
      </c>
      <c r="F17" s="32" t="s">
        <v>16</v>
      </c>
    </row>
    <row r="18" spans="2:6" x14ac:dyDescent="0.35">
      <c r="B18" s="32">
        <v>10</v>
      </c>
      <c r="C18" s="32" t="s">
        <v>14</v>
      </c>
      <c r="D18" s="32" t="s">
        <v>10</v>
      </c>
      <c r="E18" s="34">
        <v>400</v>
      </c>
      <c r="F18" s="32" t="s">
        <v>16</v>
      </c>
    </row>
    <row r="19" spans="2:6" x14ac:dyDescent="0.35">
      <c r="B19" s="32">
        <v>11</v>
      </c>
      <c r="C19" s="32" t="s">
        <v>18</v>
      </c>
      <c r="D19" s="32" t="s">
        <v>13</v>
      </c>
      <c r="E19" s="34">
        <v>130</v>
      </c>
      <c r="F19" s="32" t="s">
        <v>7</v>
      </c>
    </row>
    <row r="20" spans="2:6" x14ac:dyDescent="0.35">
      <c r="B20" s="32">
        <v>12</v>
      </c>
      <c r="C20" s="32" t="s">
        <v>9</v>
      </c>
      <c r="D20" s="32" t="s">
        <v>15</v>
      </c>
      <c r="E20" s="34">
        <v>25</v>
      </c>
      <c r="F20" s="32" t="s">
        <v>7</v>
      </c>
    </row>
    <row r="21" spans="2:6" x14ac:dyDescent="0.35">
      <c r="B21" s="32">
        <v>13</v>
      </c>
      <c r="C21" s="32" t="s">
        <v>14</v>
      </c>
      <c r="D21" s="32" t="s">
        <v>17</v>
      </c>
      <c r="E21" s="34">
        <v>600</v>
      </c>
      <c r="F21" s="32" t="s">
        <v>7</v>
      </c>
    </row>
    <row r="22" spans="2:6" x14ac:dyDescent="0.35">
      <c r="B22" s="32">
        <v>14</v>
      </c>
      <c r="C22" s="32" t="s">
        <v>12</v>
      </c>
      <c r="D22" s="32" t="s">
        <v>10</v>
      </c>
      <c r="E22" s="34">
        <v>400</v>
      </c>
      <c r="F22" s="32" t="s">
        <v>16</v>
      </c>
    </row>
    <row r="23" spans="2:6" x14ac:dyDescent="0.35">
      <c r="B23" s="32">
        <v>15</v>
      </c>
      <c r="C23" s="32" t="s">
        <v>18</v>
      </c>
      <c r="D23" s="32" t="s">
        <v>10</v>
      </c>
      <c r="E23" s="34">
        <v>400</v>
      </c>
      <c r="F23" s="32" t="s">
        <v>16</v>
      </c>
    </row>
    <row r="24" spans="2:6" x14ac:dyDescent="0.35">
      <c r="B24" s="32">
        <v>16</v>
      </c>
      <c r="C24" s="32" t="s">
        <v>12</v>
      </c>
      <c r="D24" s="32" t="s">
        <v>10</v>
      </c>
      <c r="E24" s="34">
        <v>400</v>
      </c>
      <c r="F24" s="32" t="s">
        <v>16</v>
      </c>
    </row>
    <row r="25" spans="2:6" x14ac:dyDescent="0.35">
      <c r="B25" s="32">
        <v>17</v>
      </c>
      <c r="C25" s="32" t="s">
        <v>18</v>
      </c>
      <c r="D25" s="32" t="s">
        <v>15</v>
      </c>
      <c r="E25" s="34">
        <v>25</v>
      </c>
      <c r="F25" s="32" t="s">
        <v>7</v>
      </c>
    </row>
    <row r="26" spans="2:6" x14ac:dyDescent="0.35">
      <c r="B26" s="32">
        <v>18</v>
      </c>
      <c r="C26" s="32" t="s">
        <v>9</v>
      </c>
      <c r="D26" s="32" t="s">
        <v>13</v>
      </c>
      <c r="E26" s="34">
        <v>130</v>
      </c>
      <c r="F26" s="32" t="s">
        <v>16</v>
      </c>
    </row>
    <row r="27" spans="2:6" x14ac:dyDescent="0.35">
      <c r="B27" s="32">
        <v>19</v>
      </c>
      <c r="C27" s="32" t="s">
        <v>12</v>
      </c>
      <c r="D27" s="32" t="s">
        <v>6</v>
      </c>
      <c r="E27" s="34">
        <v>250</v>
      </c>
      <c r="F27" s="32" t="s">
        <v>7</v>
      </c>
    </row>
    <row r="28" spans="2:6" x14ac:dyDescent="0.35">
      <c r="B28" s="32">
        <v>20</v>
      </c>
      <c r="C28" s="32" t="s">
        <v>18</v>
      </c>
      <c r="D28" s="32" t="s">
        <v>6</v>
      </c>
      <c r="E28" s="34">
        <v>250</v>
      </c>
      <c r="F28" s="32" t="s">
        <v>16</v>
      </c>
    </row>
    <row r="29" spans="2:6" x14ac:dyDescent="0.35">
      <c r="B29" s="32">
        <v>21</v>
      </c>
      <c r="C29" s="32" t="s">
        <v>18</v>
      </c>
      <c r="D29" s="32" t="s">
        <v>17</v>
      </c>
      <c r="E29" s="34">
        <v>600</v>
      </c>
      <c r="F29" s="32" t="s">
        <v>16</v>
      </c>
    </row>
    <row r="30" spans="2:6" x14ac:dyDescent="0.35">
      <c r="B30" s="32">
        <v>22</v>
      </c>
      <c r="C30" s="32" t="s">
        <v>9</v>
      </c>
      <c r="D30" s="32" t="s">
        <v>10</v>
      </c>
      <c r="E30" s="34">
        <v>400</v>
      </c>
      <c r="F30" s="32" t="s">
        <v>16</v>
      </c>
    </row>
    <row r="31" spans="2:6" x14ac:dyDescent="0.35">
      <c r="B31" s="32">
        <v>23</v>
      </c>
      <c r="C31" s="32" t="s">
        <v>14</v>
      </c>
      <c r="D31" s="32" t="s">
        <v>15</v>
      </c>
      <c r="E31" s="34">
        <v>25</v>
      </c>
      <c r="F31" s="32" t="s">
        <v>11</v>
      </c>
    </row>
    <row r="32" spans="2:6" x14ac:dyDescent="0.35">
      <c r="B32" s="32">
        <v>24</v>
      </c>
      <c r="C32" s="32" t="s">
        <v>9</v>
      </c>
      <c r="D32" s="32" t="s">
        <v>15</v>
      </c>
      <c r="E32" s="34">
        <v>25</v>
      </c>
      <c r="F32" s="32" t="s">
        <v>16</v>
      </c>
    </row>
    <row r="33" spans="2:6" x14ac:dyDescent="0.35">
      <c r="B33" s="32">
        <v>25</v>
      </c>
      <c r="C33" s="32" t="s">
        <v>9</v>
      </c>
      <c r="D33" s="32" t="s">
        <v>10</v>
      </c>
      <c r="E33" s="34">
        <v>400</v>
      </c>
      <c r="F33" s="32" t="s">
        <v>16</v>
      </c>
    </row>
    <row r="34" spans="2:6" x14ac:dyDescent="0.35">
      <c r="B34" s="32">
        <v>26</v>
      </c>
      <c r="C34" s="32" t="s">
        <v>18</v>
      </c>
      <c r="D34" s="32" t="s">
        <v>13</v>
      </c>
      <c r="E34" s="34">
        <v>130</v>
      </c>
      <c r="F34" s="32" t="s">
        <v>16</v>
      </c>
    </row>
    <row r="35" spans="2:6" x14ac:dyDescent="0.35">
      <c r="B35" s="32">
        <v>27</v>
      </c>
      <c r="C35" s="32" t="s">
        <v>9</v>
      </c>
      <c r="D35" s="32" t="s">
        <v>13</v>
      </c>
      <c r="E35" s="34">
        <v>130</v>
      </c>
      <c r="F35" s="32" t="s">
        <v>7</v>
      </c>
    </row>
    <row r="36" spans="2:6" x14ac:dyDescent="0.35">
      <c r="B36" s="32">
        <v>28</v>
      </c>
      <c r="C36" s="32" t="s">
        <v>18</v>
      </c>
      <c r="D36" s="32" t="s">
        <v>6</v>
      </c>
      <c r="E36" s="34">
        <v>250</v>
      </c>
      <c r="F36" s="32" t="s">
        <v>7</v>
      </c>
    </row>
    <row r="37" spans="2:6" x14ac:dyDescent="0.35">
      <c r="B37" s="32">
        <v>29</v>
      </c>
      <c r="C37" s="32" t="s">
        <v>9</v>
      </c>
      <c r="D37" s="32" t="s">
        <v>6</v>
      </c>
      <c r="E37" s="34">
        <v>250</v>
      </c>
      <c r="F37" s="32" t="s">
        <v>7</v>
      </c>
    </row>
    <row r="38" spans="2:6" x14ac:dyDescent="0.35">
      <c r="B38" s="32">
        <v>30</v>
      </c>
      <c r="C38" s="32" t="s">
        <v>14</v>
      </c>
      <c r="D38" s="32" t="s">
        <v>13</v>
      </c>
      <c r="E38" s="34">
        <v>130</v>
      </c>
      <c r="F38" s="32" t="s">
        <v>7</v>
      </c>
    </row>
    <row r="39" spans="2:6" x14ac:dyDescent="0.35">
      <c r="B39" s="32">
        <v>31</v>
      </c>
      <c r="C39" s="32" t="s">
        <v>14</v>
      </c>
      <c r="D39" s="32" t="s">
        <v>17</v>
      </c>
      <c r="E39" s="34">
        <v>600</v>
      </c>
      <c r="F39" s="32" t="s">
        <v>7</v>
      </c>
    </row>
    <row r="40" spans="2:6" x14ac:dyDescent="0.35">
      <c r="B40" s="32">
        <v>32</v>
      </c>
      <c r="C40" s="32" t="s">
        <v>12</v>
      </c>
      <c r="D40" s="32" t="s">
        <v>13</v>
      </c>
      <c r="E40" s="34">
        <v>130</v>
      </c>
      <c r="F40" s="32" t="s">
        <v>7</v>
      </c>
    </row>
    <row r="41" spans="2:6" x14ac:dyDescent="0.35">
      <c r="B41" s="32">
        <v>33</v>
      </c>
      <c r="C41" s="32" t="s">
        <v>12</v>
      </c>
      <c r="D41" s="32" t="s">
        <v>8</v>
      </c>
      <c r="E41" s="34">
        <v>350</v>
      </c>
      <c r="F41" s="32" t="s">
        <v>16</v>
      </c>
    </row>
    <row r="42" spans="2:6" x14ac:dyDescent="0.35">
      <c r="B42" s="32">
        <v>34</v>
      </c>
      <c r="C42" s="32" t="s">
        <v>5</v>
      </c>
      <c r="D42" s="32" t="s">
        <v>13</v>
      </c>
      <c r="E42" s="34">
        <v>130</v>
      </c>
      <c r="F42" s="32" t="s">
        <v>7</v>
      </c>
    </row>
    <row r="43" spans="2:6" x14ac:dyDescent="0.35">
      <c r="B43" s="32">
        <v>35</v>
      </c>
      <c r="C43" s="32" t="s">
        <v>12</v>
      </c>
      <c r="D43" s="32" t="s">
        <v>10</v>
      </c>
      <c r="E43" s="34">
        <v>400</v>
      </c>
      <c r="F43" s="32" t="s">
        <v>11</v>
      </c>
    </row>
    <row r="44" spans="2:6" x14ac:dyDescent="0.35">
      <c r="B44" s="32">
        <v>36</v>
      </c>
      <c r="C44" s="32" t="s">
        <v>12</v>
      </c>
      <c r="D44" s="32" t="s">
        <v>17</v>
      </c>
      <c r="E44" s="34">
        <v>600</v>
      </c>
      <c r="F44" s="32" t="s">
        <v>7</v>
      </c>
    </row>
    <row r="45" spans="2:6" x14ac:dyDescent="0.35">
      <c r="B45" s="32">
        <v>37</v>
      </c>
      <c r="C45" s="32" t="s">
        <v>5</v>
      </c>
      <c r="D45" s="32" t="s">
        <v>6</v>
      </c>
      <c r="E45" s="34">
        <v>250</v>
      </c>
      <c r="F45" s="32" t="s">
        <v>16</v>
      </c>
    </row>
    <row r="46" spans="2:6" x14ac:dyDescent="0.35">
      <c r="B46" s="32">
        <v>38</v>
      </c>
      <c r="C46" s="32" t="s">
        <v>5</v>
      </c>
      <c r="D46" s="32" t="s">
        <v>10</v>
      </c>
      <c r="E46" s="34">
        <v>400</v>
      </c>
      <c r="F46" s="32" t="s">
        <v>7</v>
      </c>
    </row>
    <row r="47" spans="2:6" x14ac:dyDescent="0.35">
      <c r="B47" s="32">
        <v>39</v>
      </c>
      <c r="C47" s="32" t="s">
        <v>5</v>
      </c>
      <c r="D47" s="32" t="s">
        <v>8</v>
      </c>
      <c r="E47" s="34">
        <v>350</v>
      </c>
      <c r="F47" s="32" t="s">
        <v>16</v>
      </c>
    </row>
    <row r="48" spans="2:6" x14ac:dyDescent="0.35">
      <c r="B48" s="32">
        <v>40</v>
      </c>
      <c r="C48" s="32" t="s">
        <v>18</v>
      </c>
      <c r="D48" s="32" t="s">
        <v>8</v>
      </c>
      <c r="E48" s="34">
        <v>350</v>
      </c>
      <c r="F48" s="32" t="s">
        <v>16</v>
      </c>
    </row>
    <row r="49" spans="2:6" x14ac:dyDescent="0.35">
      <c r="B49" s="32">
        <v>41</v>
      </c>
      <c r="C49" s="32" t="s">
        <v>5</v>
      </c>
      <c r="D49" s="32" t="s">
        <v>6</v>
      </c>
      <c r="E49" s="34">
        <v>250</v>
      </c>
      <c r="F49" s="32" t="s">
        <v>7</v>
      </c>
    </row>
    <row r="50" spans="2:6" x14ac:dyDescent="0.35">
      <c r="B50" s="32">
        <v>42</v>
      </c>
      <c r="C50" s="32" t="s">
        <v>9</v>
      </c>
      <c r="D50" s="32" t="s">
        <v>15</v>
      </c>
      <c r="E50" s="34">
        <v>25</v>
      </c>
      <c r="F50" s="32" t="s">
        <v>11</v>
      </c>
    </row>
    <row r="51" spans="2:6" x14ac:dyDescent="0.35">
      <c r="B51" s="32">
        <v>43</v>
      </c>
      <c r="C51" s="32" t="s">
        <v>14</v>
      </c>
      <c r="D51" s="32" t="s">
        <v>10</v>
      </c>
      <c r="E51" s="34">
        <v>400</v>
      </c>
      <c r="F51" s="32" t="s">
        <v>7</v>
      </c>
    </row>
    <row r="52" spans="2:6" x14ac:dyDescent="0.35">
      <c r="B52" s="32">
        <v>44</v>
      </c>
      <c r="C52" s="32" t="s">
        <v>14</v>
      </c>
      <c r="D52" s="32" t="s">
        <v>17</v>
      </c>
      <c r="E52" s="34">
        <v>600</v>
      </c>
      <c r="F52" s="32" t="s">
        <v>16</v>
      </c>
    </row>
    <row r="53" spans="2:6" x14ac:dyDescent="0.35">
      <c r="B53" s="32">
        <v>45</v>
      </c>
      <c r="C53" s="32" t="s">
        <v>12</v>
      </c>
      <c r="D53" s="32" t="s">
        <v>15</v>
      </c>
      <c r="E53" s="34">
        <v>25</v>
      </c>
      <c r="F53" s="32" t="s">
        <v>16</v>
      </c>
    </row>
    <row r="54" spans="2:6" x14ac:dyDescent="0.35">
      <c r="B54" s="32">
        <v>46</v>
      </c>
      <c r="C54" s="32" t="s">
        <v>5</v>
      </c>
      <c r="D54" s="32" t="s">
        <v>8</v>
      </c>
      <c r="E54" s="34">
        <v>350</v>
      </c>
      <c r="F54" s="32" t="s">
        <v>7</v>
      </c>
    </row>
    <row r="55" spans="2:6" x14ac:dyDescent="0.35">
      <c r="B55" s="32">
        <v>47</v>
      </c>
      <c r="C55" s="32" t="s">
        <v>12</v>
      </c>
      <c r="D55" s="32" t="s">
        <v>8</v>
      </c>
      <c r="E55" s="34">
        <v>350</v>
      </c>
      <c r="F55" s="32" t="s">
        <v>16</v>
      </c>
    </row>
    <row r="56" spans="2:6" x14ac:dyDescent="0.35">
      <c r="B56" s="32">
        <v>48</v>
      </c>
      <c r="C56" s="32" t="s">
        <v>9</v>
      </c>
      <c r="D56" s="32" t="s">
        <v>13</v>
      </c>
      <c r="E56" s="34">
        <v>130</v>
      </c>
      <c r="F56" s="32" t="s">
        <v>7</v>
      </c>
    </row>
    <row r="57" spans="2:6" x14ac:dyDescent="0.35">
      <c r="B57" s="32">
        <v>49</v>
      </c>
      <c r="C57" s="32" t="s">
        <v>14</v>
      </c>
      <c r="D57" s="32" t="s">
        <v>10</v>
      </c>
      <c r="E57" s="34">
        <v>400</v>
      </c>
      <c r="F57" s="32" t="s">
        <v>16</v>
      </c>
    </row>
    <row r="58" spans="2:6" x14ac:dyDescent="0.35">
      <c r="B58" s="32">
        <v>50</v>
      </c>
      <c r="C58" s="32" t="s">
        <v>18</v>
      </c>
      <c r="D58" s="32" t="s">
        <v>15</v>
      </c>
      <c r="E58" s="34">
        <v>25</v>
      </c>
      <c r="F58" s="32" t="s">
        <v>11</v>
      </c>
    </row>
    <row r="59" spans="2:6" x14ac:dyDescent="0.35">
      <c r="B59" s="32">
        <v>51</v>
      </c>
      <c r="C59" s="32" t="s">
        <v>14</v>
      </c>
      <c r="D59" s="32" t="s">
        <v>10</v>
      </c>
      <c r="E59" s="34">
        <v>400</v>
      </c>
      <c r="F59" s="32" t="s">
        <v>16</v>
      </c>
    </row>
    <row r="60" spans="2:6" x14ac:dyDescent="0.35">
      <c r="B60" s="32">
        <v>52</v>
      </c>
      <c r="C60" s="32" t="s">
        <v>9</v>
      </c>
      <c r="D60" s="32" t="s">
        <v>15</v>
      </c>
      <c r="E60" s="34">
        <v>25</v>
      </c>
      <c r="F60" s="32" t="s">
        <v>7</v>
      </c>
    </row>
    <row r="61" spans="2:6" x14ac:dyDescent="0.35">
      <c r="B61" s="32">
        <v>53</v>
      </c>
      <c r="C61" s="32" t="s">
        <v>14</v>
      </c>
      <c r="D61" s="32" t="s">
        <v>17</v>
      </c>
      <c r="E61" s="34">
        <v>600</v>
      </c>
      <c r="F61" s="32" t="s">
        <v>16</v>
      </c>
    </row>
    <row r="62" spans="2:6" x14ac:dyDescent="0.35">
      <c r="B62" s="32">
        <v>54</v>
      </c>
      <c r="C62" s="32" t="s">
        <v>14</v>
      </c>
      <c r="D62" s="32" t="s">
        <v>15</v>
      </c>
      <c r="E62" s="34">
        <v>25</v>
      </c>
      <c r="F62" s="32" t="s">
        <v>7</v>
      </c>
    </row>
    <row r="63" spans="2:6" x14ac:dyDescent="0.35">
      <c r="B63" s="32">
        <v>55</v>
      </c>
      <c r="C63" s="32" t="s">
        <v>12</v>
      </c>
      <c r="D63" s="32" t="s">
        <v>10</v>
      </c>
      <c r="E63" s="34">
        <v>400</v>
      </c>
      <c r="F63" s="32" t="s">
        <v>7</v>
      </c>
    </row>
    <row r="64" spans="2:6" x14ac:dyDescent="0.35">
      <c r="B64" s="32">
        <v>56</v>
      </c>
      <c r="C64" s="32" t="s">
        <v>9</v>
      </c>
      <c r="D64" s="32" t="s">
        <v>17</v>
      </c>
      <c r="E64" s="34">
        <v>600</v>
      </c>
      <c r="F64" s="32" t="s">
        <v>16</v>
      </c>
    </row>
    <row r="65" spans="2:6" x14ac:dyDescent="0.35">
      <c r="B65" s="32">
        <v>57</v>
      </c>
      <c r="C65" s="32" t="s">
        <v>18</v>
      </c>
      <c r="D65" s="32" t="s">
        <v>6</v>
      </c>
      <c r="E65" s="34">
        <v>250</v>
      </c>
      <c r="F65" s="32" t="s">
        <v>16</v>
      </c>
    </row>
    <row r="66" spans="2:6" x14ac:dyDescent="0.35">
      <c r="B66" s="32">
        <v>58</v>
      </c>
      <c r="C66" s="32" t="s">
        <v>14</v>
      </c>
      <c r="D66" s="32" t="s">
        <v>15</v>
      </c>
      <c r="E66" s="34">
        <v>25</v>
      </c>
      <c r="F66" s="32" t="s">
        <v>16</v>
      </c>
    </row>
    <row r="67" spans="2:6" x14ac:dyDescent="0.35">
      <c r="B67" s="32">
        <v>59</v>
      </c>
      <c r="C67" s="32" t="s">
        <v>9</v>
      </c>
      <c r="D67" s="32" t="s">
        <v>17</v>
      </c>
      <c r="E67" s="34">
        <v>600</v>
      </c>
      <c r="F67" s="32" t="s">
        <v>16</v>
      </c>
    </row>
    <row r="68" spans="2:6" x14ac:dyDescent="0.35">
      <c r="B68" s="32">
        <v>60</v>
      </c>
      <c r="C68" s="32" t="s">
        <v>14</v>
      </c>
      <c r="D68" s="32" t="s">
        <v>6</v>
      </c>
      <c r="E68" s="34">
        <v>250</v>
      </c>
      <c r="F68" s="32" t="s">
        <v>11</v>
      </c>
    </row>
    <row r="69" spans="2:6" x14ac:dyDescent="0.35">
      <c r="B69" s="32">
        <v>61</v>
      </c>
      <c r="C69" s="32" t="s">
        <v>9</v>
      </c>
      <c r="D69" s="32" t="s">
        <v>13</v>
      </c>
      <c r="E69" s="34">
        <v>130</v>
      </c>
      <c r="F69" s="32" t="s">
        <v>7</v>
      </c>
    </row>
    <row r="70" spans="2:6" x14ac:dyDescent="0.35">
      <c r="B70" s="32">
        <v>62</v>
      </c>
      <c r="C70" s="32" t="s">
        <v>9</v>
      </c>
      <c r="D70" s="32" t="s">
        <v>15</v>
      </c>
      <c r="E70" s="34">
        <v>25</v>
      </c>
      <c r="F70" s="32" t="s">
        <v>16</v>
      </c>
    </row>
    <row r="71" spans="2:6" x14ac:dyDescent="0.35">
      <c r="B71" s="32">
        <v>63</v>
      </c>
      <c r="C71" s="32" t="s">
        <v>14</v>
      </c>
      <c r="D71" s="32" t="s">
        <v>15</v>
      </c>
      <c r="E71" s="34">
        <v>25</v>
      </c>
      <c r="F71" s="32" t="s">
        <v>16</v>
      </c>
    </row>
    <row r="72" spans="2:6" x14ac:dyDescent="0.35">
      <c r="B72" s="32">
        <v>64</v>
      </c>
      <c r="C72" s="32" t="s">
        <v>18</v>
      </c>
      <c r="D72" s="32" t="s">
        <v>10</v>
      </c>
      <c r="E72" s="34">
        <v>400</v>
      </c>
      <c r="F72" s="32" t="s">
        <v>16</v>
      </c>
    </row>
    <row r="73" spans="2:6" x14ac:dyDescent="0.35">
      <c r="B73" s="32">
        <v>65</v>
      </c>
      <c r="C73" s="32" t="s">
        <v>5</v>
      </c>
      <c r="D73" s="32" t="s">
        <v>6</v>
      </c>
      <c r="E73" s="34">
        <v>250</v>
      </c>
      <c r="F73" s="32" t="s">
        <v>16</v>
      </c>
    </row>
    <row r="74" spans="2:6" x14ac:dyDescent="0.35">
      <c r="B74" s="32">
        <v>66</v>
      </c>
      <c r="C74" s="32" t="s">
        <v>18</v>
      </c>
      <c r="D74" s="32" t="s">
        <v>10</v>
      </c>
      <c r="E74" s="34">
        <v>400</v>
      </c>
      <c r="F74" s="32" t="s">
        <v>7</v>
      </c>
    </row>
    <row r="75" spans="2:6" x14ac:dyDescent="0.35">
      <c r="B75" s="32">
        <v>67</v>
      </c>
      <c r="C75" s="32" t="s">
        <v>14</v>
      </c>
      <c r="D75" s="32" t="s">
        <v>10</v>
      </c>
      <c r="E75" s="34">
        <v>400</v>
      </c>
      <c r="F75" s="32" t="s">
        <v>7</v>
      </c>
    </row>
    <row r="76" spans="2:6" x14ac:dyDescent="0.35">
      <c r="B76" s="32">
        <v>68</v>
      </c>
      <c r="C76" s="32" t="s">
        <v>5</v>
      </c>
      <c r="D76" s="32" t="s">
        <v>13</v>
      </c>
      <c r="E76" s="34">
        <v>130</v>
      </c>
      <c r="F76" s="32" t="s">
        <v>7</v>
      </c>
    </row>
    <row r="77" spans="2:6" x14ac:dyDescent="0.35">
      <c r="B77" s="32">
        <v>69</v>
      </c>
      <c r="C77" s="32" t="s">
        <v>5</v>
      </c>
      <c r="D77" s="32" t="s">
        <v>13</v>
      </c>
      <c r="E77" s="34">
        <v>130</v>
      </c>
      <c r="F77" s="32" t="s">
        <v>7</v>
      </c>
    </row>
    <row r="78" spans="2:6" x14ac:dyDescent="0.35">
      <c r="B78" s="32">
        <v>70</v>
      </c>
      <c r="C78" s="32" t="s">
        <v>9</v>
      </c>
      <c r="D78" s="32" t="s">
        <v>8</v>
      </c>
      <c r="E78" s="34">
        <v>350</v>
      </c>
      <c r="F78" s="32" t="s">
        <v>7</v>
      </c>
    </row>
    <row r="79" spans="2:6" x14ac:dyDescent="0.35">
      <c r="B79" s="32">
        <v>71</v>
      </c>
      <c r="C79" s="32" t="s">
        <v>9</v>
      </c>
      <c r="D79" s="32" t="s">
        <v>13</v>
      </c>
      <c r="E79" s="34">
        <v>130</v>
      </c>
      <c r="F79" s="32" t="s">
        <v>11</v>
      </c>
    </row>
    <row r="80" spans="2:6" x14ac:dyDescent="0.35">
      <c r="B80" s="32">
        <v>72</v>
      </c>
      <c r="C80" s="32" t="s">
        <v>18</v>
      </c>
      <c r="D80" s="32" t="s">
        <v>6</v>
      </c>
      <c r="E80" s="34">
        <v>250</v>
      </c>
      <c r="F80" s="32" t="s">
        <v>7</v>
      </c>
    </row>
    <row r="81" spans="2:6" x14ac:dyDescent="0.35">
      <c r="B81" s="32">
        <v>73</v>
      </c>
      <c r="C81" s="32" t="s">
        <v>12</v>
      </c>
      <c r="D81" s="32" t="s">
        <v>10</v>
      </c>
      <c r="E81" s="34">
        <v>400</v>
      </c>
      <c r="F81" s="32" t="s">
        <v>16</v>
      </c>
    </row>
    <row r="82" spans="2:6" x14ac:dyDescent="0.35">
      <c r="B82" s="32">
        <v>74</v>
      </c>
      <c r="C82" s="32" t="s">
        <v>12</v>
      </c>
      <c r="D82" s="32" t="s">
        <v>6</v>
      </c>
      <c r="E82" s="34">
        <v>250</v>
      </c>
      <c r="F82" s="32" t="s">
        <v>16</v>
      </c>
    </row>
    <row r="83" spans="2:6" x14ac:dyDescent="0.35">
      <c r="B83" s="32">
        <v>75</v>
      </c>
      <c r="C83" s="32" t="s">
        <v>9</v>
      </c>
      <c r="D83" s="32" t="s">
        <v>8</v>
      </c>
      <c r="E83" s="34">
        <v>350</v>
      </c>
      <c r="F83" s="32" t="s">
        <v>16</v>
      </c>
    </row>
    <row r="84" spans="2:6" x14ac:dyDescent="0.35">
      <c r="B84" s="32">
        <v>76</v>
      </c>
      <c r="C84" s="32" t="s">
        <v>18</v>
      </c>
      <c r="D84" s="32" t="s">
        <v>13</v>
      </c>
      <c r="E84" s="34">
        <v>130</v>
      </c>
      <c r="F84" s="32" t="s">
        <v>7</v>
      </c>
    </row>
    <row r="85" spans="2:6" x14ac:dyDescent="0.35">
      <c r="B85" s="32">
        <v>77</v>
      </c>
      <c r="C85" s="32" t="s">
        <v>5</v>
      </c>
      <c r="D85" s="32" t="s">
        <v>6</v>
      </c>
      <c r="E85" s="34">
        <v>250</v>
      </c>
      <c r="F85" s="32" t="s">
        <v>7</v>
      </c>
    </row>
    <row r="86" spans="2:6" x14ac:dyDescent="0.35">
      <c r="B86" s="32">
        <v>78</v>
      </c>
      <c r="C86" s="32" t="s">
        <v>18</v>
      </c>
      <c r="D86" s="32" t="s">
        <v>15</v>
      </c>
      <c r="E86" s="34">
        <v>25</v>
      </c>
      <c r="F86" s="32" t="s">
        <v>16</v>
      </c>
    </row>
    <row r="87" spans="2:6" x14ac:dyDescent="0.35">
      <c r="B87" s="32">
        <v>79</v>
      </c>
      <c r="C87" s="32" t="s">
        <v>12</v>
      </c>
      <c r="D87" s="32" t="s">
        <v>17</v>
      </c>
      <c r="E87" s="34">
        <v>600</v>
      </c>
      <c r="F87" s="32" t="s">
        <v>7</v>
      </c>
    </row>
    <row r="88" spans="2:6" x14ac:dyDescent="0.35">
      <c r="B88" s="32">
        <v>80</v>
      </c>
      <c r="C88" s="32" t="s">
        <v>18</v>
      </c>
      <c r="D88" s="32" t="s">
        <v>6</v>
      </c>
      <c r="E88" s="34">
        <v>250</v>
      </c>
      <c r="F88" s="32" t="s">
        <v>7</v>
      </c>
    </row>
    <row r="89" spans="2:6" x14ac:dyDescent="0.35">
      <c r="B89" s="32">
        <v>81</v>
      </c>
      <c r="C89" s="32" t="s">
        <v>12</v>
      </c>
      <c r="D89" s="32" t="s">
        <v>13</v>
      </c>
      <c r="E89" s="34">
        <v>130</v>
      </c>
      <c r="F89" s="32" t="s">
        <v>11</v>
      </c>
    </row>
    <row r="90" spans="2:6" x14ac:dyDescent="0.35">
      <c r="B90" s="32">
        <v>82</v>
      </c>
      <c r="C90" s="32" t="s">
        <v>5</v>
      </c>
      <c r="D90" s="32" t="s">
        <v>13</v>
      </c>
      <c r="E90" s="34">
        <v>130</v>
      </c>
      <c r="F90" s="32" t="s">
        <v>16</v>
      </c>
    </row>
    <row r="91" spans="2:6" x14ac:dyDescent="0.35">
      <c r="B91" s="32">
        <v>83</v>
      </c>
      <c r="C91" s="32" t="s">
        <v>5</v>
      </c>
      <c r="D91" s="32" t="s">
        <v>8</v>
      </c>
      <c r="E91" s="34">
        <v>350</v>
      </c>
      <c r="F91" s="32" t="s">
        <v>7</v>
      </c>
    </row>
    <row r="92" spans="2:6" x14ac:dyDescent="0.35">
      <c r="B92" s="32">
        <v>84</v>
      </c>
      <c r="C92" s="32" t="s">
        <v>14</v>
      </c>
      <c r="D92" s="32" t="s">
        <v>10</v>
      </c>
      <c r="E92" s="34">
        <v>400</v>
      </c>
      <c r="F92" s="32" t="s">
        <v>16</v>
      </c>
    </row>
    <row r="93" spans="2:6" x14ac:dyDescent="0.35">
      <c r="B93" s="32">
        <v>85</v>
      </c>
      <c r="C93" s="32" t="s">
        <v>14</v>
      </c>
      <c r="D93" s="32" t="s">
        <v>17</v>
      </c>
      <c r="E93" s="34">
        <v>600</v>
      </c>
      <c r="F93" s="32" t="s">
        <v>7</v>
      </c>
    </row>
    <row r="94" spans="2:6" x14ac:dyDescent="0.35">
      <c r="B94" s="32">
        <v>86</v>
      </c>
      <c r="C94" s="32" t="s">
        <v>5</v>
      </c>
      <c r="D94" s="32" t="s">
        <v>15</v>
      </c>
      <c r="E94" s="34">
        <v>25</v>
      </c>
      <c r="F94" s="32" t="s">
        <v>7</v>
      </c>
    </row>
    <row r="95" spans="2:6" x14ac:dyDescent="0.35">
      <c r="B95" s="32">
        <v>87</v>
      </c>
      <c r="C95" s="32" t="s">
        <v>5</v>
      </c>
      <c r="D95" s="32" t="s">
        <v>15</v>
      </c>
      <c r="E95" s="34">
        <v>25</v>
      </c>
      <c r="F95" s="32" t="s">
        <v>7</v>
      </c>
    </row>
    <row r="96" spans="2:6" x14ac:dyDescent="0.35">
      <c r="B96" s="32">
        <v>88</v>
      </c>
      <c r="C96" s="32" t="s">
        <v>14</v>
      </c>
      <c r="D96" s="32" t="s">
        <v>6</v>
      </c>
      <c r="E96" s="34">
        <v>250</v>
      </c>
      <c r="F96" s="32" t="s">
        <v>11</v>
      </c>
    </row>
    <row r="97" spans="2:6" x14ac:dyDescent="0.35">
      <c r="B97" s="32">
        <v>89</v>
      </c>
      <c r="C97" s="32" t="s">
        <v>5</v>
      </c>
      <c r="D97" s="32" t="s">
        <v>10</v>
      </c>
      <c r="E97" s="34">
        <v>400</v>
      </c>
      <c r="F97" s="32" t="s">
        <v>11</v>
      </c>
    </row>
    <row r="98" spans="2:6" x14ac:dyDescent="0.35">
      <c r="B98" s="32">
        <v>90</v>
      </c>
      <c r="C98" s="32" t="s">
        <v>14</v>
      </c>
      <c r="D98" s="32" t="s">
        <v>10</v>
      </c>
      <c r="E98" s="34">
        <v>400</v>
      </c>
      <c r="F98" s="32" t="s">
        <v>16</v>
      </c>
    </row>
    <row r="99" spans="2:6" x14ac:dyDescent="0.35">
      <c r="B99" s="32">
        <v>91</v>
      </c>
      <c r="C99" s="32" t="s">
        <v>14</v>
      </c>
      <c r="D99" s="32" t="s">
        <v>13</v>
      </c>
      <c r="E99" s="34">
        <v>130</v>
      </c>
      <c r="F99" s="32" t="s">
        <v>7</v>
      </c>
    </row>
    <row r="100" spans="2:6" x14ac:dyDescent="0.35">
      <c r="B100" s="32">
        <v>92</v>
      </c>
      <c r="C100" s="32" t="s">
        <v>9</v>
      </c>
      <c r="D100" s="32" t="s">
        <v>17</v>
      </c>
      <c r="E100" s="34">
        <v>600</v>
      </c>
      <c r="F100" s="32" t="s">
        <v>11</v>
      </c>
    </row>
    <row r="101" spans="2:6" x14ac:dyDescent="0.35">
      <c r="B101" s="32">
        <v>93</v>
      </c>
      <c r="C101" s="32" t="s">
        <v>14</v>
      </c>
      <c r="D101" s="32" t="s">
        <v>13</v>
      </c>
      <c r="E101" s="34">
        <v>130</v>
      </c>
      <c r="F101" s="32" t="s">
        <v>7</v>
      </c>
    </row>
    <row r="102" spans="2:6" x14ac:dyDescent="0.35">
      <c r="B102" s="32">
        <v>94</v>
      </c>
      <c r="C102" s="32" t="s">
        <v>5</v>
      </c>
      <c r="D102" s="32" t="s">
        <v>13</v>
      </c>
      <c r="E102" s="34">
        <v>130</v>
      </c>
      <c r="F102" s="32" t="s">
        <v>7</v>
      </c>
    </row>
    <row r="103" spans="2:6" x14ac:dyDescent="0.35">
      <c r="B103" s="32">
        <v>95</v>
      </c>
      <c r="C103" s="32" t="s">
        <v>9</v>
      </c>
      <c r="D103" s="32" t="s">
        <v>8</v>
      </c>
      <c r="E103" s="34">
        <v>350</v>
      </c>
      <c r="F103" s="32" t="s">
        <v>7</v>
      </c>
    </row>
    <row r="104" spans="2:6" x14ac:dyDescent="0.35">
      <c r="B104" s="32">
        <v>96</v>
      </c>
      <c r="C104" s="32" t="s">
        <v>18</v>
      </c>
      <c r="D104" s="32" t="s">
        <v>10</v>
      </c>
      <c r="E104" s="34">
        <v>400</v>
      </c>
      <c r="F104" s="32" t="s">
        <v>11</v>
      </c>
    </row>
    <row r="105" spans="2:6" x14ac:dyDescent="0.35">
      <c r="B105" s="32">
        <v>97</v>
      </c>
      <c r="C105" s="32" t="s">
        <v>9</v>
      </c>
      <c r="D105" s="32" t="s">
        <v>13</v>
      </c>
      <c r="E105" s="34">
        <v>130</v>
      </c>
      <c r="F105" s="32" t="s">
        <v>7</v>
      </c>
    </row>
    <row r="106" spans="2:6" x14ac:dyDescent="0.35">
      <c r="B106" s="32">
        <v>98</v>
      </c>
      <c r="C106" s="32" t="s">
        <v>18</v>
      </c>
      <c r="D106" s="32" t="s">
        <v>8</v>
      </c>
      <c r="E106" s="34">
        <v>350</v>
      </c>
      <c r="F106" s="32" t="s">
        <v>11</v>
      </c>
    </row>
    <row r="107" spans="2:6" x14ac:dyDescent="0.35">
      <c r="B107" s="32">
        <v>99</v>
      </c>
      <c r="C107" s="32" t="s">
        <v>9</v>
      </c>
      <c r="D107" s="32" t="s">
        <v>17</v>
      </c>
      <c r="E107" s="34">
        <v>600</v>
      </c>
      <c r="F107" s="32" t="s">
        <v>7</v>
      </c>
    </row>
    <row r="108" spans="2:6" x14ac:dyDescent="0.35">
      <c r="B108" s="32">
        <v>100</v>
      </c>
      <c r="C108" s="32" t="s">
        <v>5</v>
      </c>
      <c r="D108" s="32" t="s">
        <v>8</v>
      </c>
      <c r="E108" s="34">
        <v>350</v>
      </c>
      <c r="F108" s="32" t="s">
        <v>16</v>
      </c>
    </row>
    <row r="109" spans="2:6" x14ac:dyDescent="0.35">
      <c r="B109" s="32">
        <v>101</v>
      </c>
      <c r="C109" s="32" t="s">
        <v>12</v>
      </c>
      <c r="D109" s="32" t="s">
        <v>15</v>
      </c>
      <c r="E109" s="34">
        <v>25</v>
      </c>
      <c r="F109" s="32" t="s">
        <v>7</v>
      </c>
    </row>
    <row r="110" spans="2:6" x14ac:dyDescent="0.35">
      <c r="B110" s="32">
        <v>102</v>
      </c>
      <c r="C110" s="32" t="s">
        <v>12</v>
      </c>
      <c r="D110" s="32" t="s">
        <v>8</v>
      </c>
      <c r="E110" s="34">
        <v>350</v>
      </c>
      <c r="F110" s="32" t="s">
        <v>7</v>
      </c>
    </row>
    <row r="111" spans="2:6" x14ac:dyDescent="0.35">
      <c r="B111" s="32">
        <v>103</v>
      </c>
      <c r="C111" s="32" t="s">
        <v>14</v>
      </c>
      <c r="D111" s="32" t="s">
        <v>17</v>
      </c>
      <c r="E111" s="34">
        <v>600</v>
      </c>
      <c r="F111" s="32" t="s">
        <v>7</v>
      </c>
    </row>
    <row r="112" spans="2:6" x14ac:dyDescent="0.35">
      <c r="B112" s="32">
        <v>104</v>
      </c>
      <c r="C112" s="32" t="s">
        <v>14</v>
      </c>
      <c r="D112" s="32" t="s">
        <v>13</v>
      </c>
      <c r="E112" s="34">
        <v>130</v>
      </c>
      <c r="F112" s="32" t="s">
        <v>7</v>
      </c>
    </row>
    <row r="113" spans="2:6" x14ac:dyDescent="0.35">
      <c r="B113" s="32">
        <v>105</v>
      </c>
      <c r="C113" s="32" t="s">
        <v>14</v>
      </c>
      <c r="D113" s="32" t="s">
        <v>15</v>
      </c>
      <c r="E113" s="34">
        <v>25</v>
      </c>
      <c r="F113" s="32" t="s">
        <v>16</v>
      </c>
    </row>
    <row r="114" spans="2:6" x14ac:dyDescent="0.35">
      <c r="B114" s="32">
        <v>106</v>
      </c>
      <c r="C114" s="32" t="s">
        <v>12</v>
      </c>
      <c r="D114" s="32" t="s">
        <v>13</v>
      </c>
      <c r="E114" s="34">
        <v>130</v>
      </c>
      <c r="F114" s="32" t="s">
        <v>7</v>
      </c>
    </row>
    <row r="115" spans="2:6" x14ac:dyDescent="0.35">
      <c r="B115" s="32">
        <v>107</v>
      </c>
      <c r="C115" s="32" t="s">
        <v>14</v>
      </c>
      <c r="D115" s="32" t="s">
        <v>8</v>
      </c>
      <c r="E115" s="34">
        <v>350</v>
      </c>
      <c r="F115" s="32" t="s">
        <v>7</v>
      </c>
    </row>
    <row r="116" spans="2:6" x14ac:dyDescent="0.35">
      <c r="B116" s="32">
        <v>108</v>
      </c>
      <c r="C116" s="32" t="s">
        <v>12</v>
      </c>
      <c r="D116" s="32" t="s">
        <v>15</v>
      </c>
      <c r="E116" s="34">
        <v>25</v>
      </c>
      <c r="F116" s="32" t="s">
        <v>16</v>
      </c>
    </row>
    <row r="117" spans="2:6" x14ac:dyDescent="0.35">
      <c r="B117" s="32">
        <v>109</v>
      </c>
      <c r="C117" s="32" t="s">
        <v>12</v>
      </c>
      <c r="D117" s="32" t="s">
        <v>15</v>
      </c>
      <c r="E117" s="34">
        <v>25</v>
      </c>
      <c r="F117" s="32" t="s">
        <v>7</v>
      </c>
    </row>
    <row r="118" spans="2:6" x14ac:dyDescent="0.35">
      <c r="B118" s="32">
        <v>110</v>
      </c>
      <c r="C118" s="32" t="s">
        <v>9</v>
      </c>
      <c r="D118" s="32" t="s">
        <v>15</v>
      </c>
      <c r="E118" s="34">
        <v>25</v>
      </c>
      <c r="F118" s="32" t="s">
        <v>7</v>
      </c>
    </row>
    <row r="119" spans="2:6" x14ac:dyDescent="0.35">
      <c r="B119" s="32">
        <v>111</v>
      </c>
      <c r="C119" s="32" t="s">
        <v>5</v>
      </c>
      <c r="D119" s="32" t="s">
        <v>17</v>
      </c>
      <c r="E119" s="34">
        <v>600</v>
      </c>
      <c r="F119" s="32" t="s">
        <v>7</v>
      </c>
    </row>
    <row r="120" spans="2:6" x14ac:dyDescent="0.35">
      <c r="B120" s="32">
        <v>112</v>
      </c>
      <c r="C120" s="32" t="s">
        <v>5</v>
      </c>
      <c r="D120" s="32" t="s">
        <v>6</v>
      </c>
      <c r="E120" s="34">
        <v>250</v>
      </c>
      <c r="F120" s="32" t="s">
        <v>7</v>
      </c>
    </row>
    <row r="121" spans="2:6" x14ac:dyDescent="0.35">
      <c r="B121" s="32">
        <v>113</v>
      </c>
      <c r="C121" s="32" t="s">
        <v>5</v>
      </c>
      <c r="D121" s="32" t="s">
        <v>17</v>
      </c>
      <c r="E121" s="34">
        <v>600</v>
      </c>
      <c r="F121" s="32" t="s">
        <v>7</v>
      </c>
    </row>
    <row r="122" spans="2:6" x14ac:dyDescent="0.35">
      <c r="B122" s="32">
        <v>114</v>
      </c>
      <c r="C122" s="32" t="s">
        <v>9</v>
      </c>
      <c r="D122" s="32" t="s">
        <v>17</v>
      </c>
      <c r="E122" s="34">
        <v>600</v>
      </c>
      <c r="F122" s="32" t="s">
        <v>11</v>
      </c>
    </row>
    <row r="123" spans="2:6" x14ac:dyDescent="0.35">
      <c r="B123" s="32">
        <v>115</v>
      </c>
      <c r="C123" s="32" t="s">
        <v>18</v>
      </c>
      <c r="D123" s="32" t="s">
        <v>17</v>
      </c>
      <c r="E123" s="34">
        <v>600</v>
      </c>
      <c r="F123" s="32" t="s">
        <v>7</v>
      </c>
    </row>
    <row r="124" spans="2:6" x14ac:dyDescent="0.35">
      <c r="B124" s="32">
        <v>116</v>
      </c>
      <c r="C124" s="32" t="s">
        <v>12</v>
      </c>
      <c r="D124" s="32" t="s">
        <v>15</v>
      </c>
      <c r="E124" s="34">
        <v>25</v>
      </c>
      <c r="F124" s="32" t="s">
        <v>7</v>
      </c>
    </row>
    <row r="125" spans="2:6" x14ac:dyDescent="0.35">
      <c r="B125" s="32">
        <v>117</v>
      </c>
      <c r="C125" s="32" t="s">
        <v>12</v>
      </c>
      <c r="D125" s="32" t="s">
        <v>8</v>
      </c>
      <c r="E125" s="34">
        <v>350</v>
      </c>
      <c r="F125" s="32" t="s">
        <v>16</v>
      </c>
    </row>
    <row r="126" spans="2:6" x14ac:dyDescent="0.35">
      <c r="B126" s="32">
        <v>118</v>
      </c>
      <c r="C126" s="32" t="s">
        <v>14</v>
      </c>
      <c r="D126" s="32" t="s">
        <v>10</v>
      </c>
      <c r="E126" s="34">
        <v>400</v>
      </c>
      <c r="F126" s="32" t="s">
        <v>11</v>
      </c>
    </row>
    <row r="127" spans="2:6" x14ac:dyDescent="0.35">
      <c r="B127" s="32">
        <v>119</v>
      </c>
      <c r="C127" s="32" t="s">
        <v>18</v>
      </c>
      <c r="D127" s="32" t="s">
        <v>17</v>
      </c>
      <c r="E127" s="34">
        <v>600</v>
      </c>
      <c r="F127" s="32" t="s">
        <v>11</v>
      </c>
    </row>
    <row r="128" spans="2:6" x14ac:dyDescent="0.35">
      <c r="B128" s="32">
        <v>120</v>
      </c>
      <c r="C128" s="32" t="s">
        <v>12</v>
      </c>
      <c r="D128" s="32" t="s">
        <v>17</v>
      </c>
      <c r="E128" s="34">
        <v>600</v>
      </c>
      <c r="F128" s="32" t="s">
        <v>7</v>
      </c>
    </row>
    <row r="129" spans="2:6" x14ac:dyDescent="0.35">
      <c r="B129" s="32">
        <v>121</v>
      </c>
      <c r="C129" s="32" t="s">
        <v>9</v>
      </c>
      <c r="D129" s="32" t="s">
        <v>17</v>
      </c>
      <c r="E129" s="34">
        <v>600</v>
      </c>
      <c r="F129" s="32" t="s">
        <v>16</v>
      </c>
    </row>
    <row r="130" spans="2:6" x14ac:dyDescent="0.35">
      <c r="B130" s="32">
        <v>122</v>
      </c>
      <c r="C130" s="32" t="s">
        <v>5</v>
      </c>
      <c r="D130" s="32" t="s">
        <v>15</v>
      </c>
      <c r="E130" s="34">
        <v>25</v>
      </c>
      <c r="F130" s="32" t="s">
        <v>7</v>
      </c>
    </row>
    <row r="131" spans="2:6" x14ac:dyDescent="0.35">
      <c r="B131" s="32">
        <v>123</v>
      </c>
      <c r="C131" s="32" t="s">
        <v>18</v>
      </c>
      <c r="D131" s="32" t="s">
        <v>13</v>
      </c>
      <c r="E131" s="34">
        <v>130</v>
      </c>
      <c r="F131" s="32" t="s">
        <v>7</v>
      </c>
    </row>
    <row r="132" spans="2:6" x14ac:dyDescent="0.35">
      <c r="B132" s="32">
        <v>124</v>
      </c>
      <c r="C132" s="32" t="s">
        <v>12</v>
      </c>
      <c r="D132" s="32" t="s">
        <v>17</v>
      </c>
      <c r="E132" s="34">
        <v>600</v>
      </c>
      <c r="F132" s="32" t="s">
        <v>7</v>
      </c>
    </row>
    <row r="133" spans="2:6" x14ac:dyDescent="0.35">
      <c r="B133" s="32">
        <v>125</v>
      </c>
      <c r="C133" s="32" t="s">
        <v>12</v>
      </c>
      <c r="D133" s="32" t="s">
        <v>6</v>
      </c>
      <c r="E133" s="34">
        <v>250</v>
      </c>
      <c r="F133" s="32" t="s">
        <v>7</v>
      </c>
    </row>
    <row r="134" spans="2:6" x14ac:dyDescent="0.35">
      <c r="B134" s="32">
        <v>126</v>
      </c>
      <c r="C134" s="32" t="s">
        <v>14</v>
      </c>
      <c r="D134" s="32" t="s">
        <v>17</v>
      </c>
      <c r="E134" s="34">
        <v>600</v>
      </c>
      <c r="F134" s="32" t="s">
        <v>7</v>
      </c>
    </row>
    <row r="135" spans="2:6" x14ac:dyDescent="0.35">
      <c r="B135" s="32">
        <v>127</v>
      </c>
      <c r="C135" s="32" t="s">
        <v>5</v>
      </c>
      <c r="D135" s="32" t="s">
        <v>6</v>
      </c>
      <c r="E135" s="34">
        <v>250</v>
      </c>
      <c r="F135" s="32" t="s">
        <v>7</v>
      </c>
    </row>
    <row r="136" spans="2:6" x14ac:dyDescent="0.35">
      <c r="B136" s="32">
        <v>128</v>
      </c>
      <c r="C136" s="32" t="s">
        <v>14</v>
      </c>
      <c r="D136" s="32" t="s">
        <v>10</v>
      </c>
      <c r="E136" s="34">
        <v>400</v>
      </c>
      <c r="F136" s="32" t="s">
        <v>7</v>
      </c>
    </row>
    <row r="137" spans="2:6" x14ac:dyDescent="0.35">
      <c r="B137" s="32">
        <v>129</v>
      </c>
      <c r="C137" s="32" t="s">
        <v>18</v>
      </c>
      <c r="D137" s="32" t="s">
        <v>13</v>
      </c>
      <c r="E137" s="34">
        <v>130</v>
      </c>
      <c r="F137" s="32" t="s">
        <v>7</v>
      </c>
    </row>
    <row r="138" spans="2:6" x14ac:dyDescent="0.35">
      <c r="B138" s="32">
        <v>130</v>
      </c>
      <c r="C138" s="32" t="s">
        <v>9</v>
      </c>
      <c r="D138" s="32" t="s">
        <v>13</v>
      </c>
      <c r="E138" s="34">
        <v>130</v>
      </c>
      <c r="F138" s="32" t="s">
        <v>7</v>
      </c>
    </row>
    <row r="139" spans="2:6" x14ac:dyDescent="0.35">
      <c r="B139" s="32">
        <v>131</v>
      </c>
      <c r="C139" s="32" t="s">
        <v>9</v>
      </c>
      <c r="D139" s="32" t="s">
        <v>13</v>
      </c>
      <c r="E139" s="34">
        <v>130</v>
      </c>
      <c r="F139" s="32" t="s">
        <v>16</v>
      </c>
    </row>
    <row r="140" spans="2:6" x14ac:dyDescent="0.35">
      <c r="B140" s="32">
        <v>132</v>
      </c>
      <c r="C140" s="32" t="s">
        <v>9</v>
      </c>
      <c r="D140" s="32" t="s">
        <v>10</v>
      </c>
      <c r="E140" s="34">
        <v>400</v>
      </c>
      <c r="F140" s="32" t="s">
        <v>11</v>
      </c>
    </row>
    <row r="141" spans="2:6" x14ac:dyDescent="0.35">
      <c r="B141" s="32">
        <v>133</v>
      </c>
      <c r="C141" s="32" t="s">
        <v>14</v>
      </c>
      <c r="D141" s="32" t="s">
        <v>8</v>
      </c>
      <c r="E141" s="34">
        <v>350</v>
      </c>
      <c r="F141" s="32" t="s">
        <v>7</v>
      </c>
    </row>
    <row r="142" spans="2:6" x14ac:dyDescent="0.35">
      <c r="B142" s="32">
        <v>134</v>
      </c>
      <c r="C142" s="32" t="s">
        <v>14</v>
      </c>
      <c r="D142" s="32" t="s">
        <v>13</v>
      </c>
      <c r="E142" s="34">
        <v>130</v>
      </c>
      <c r="F142" s="32" t="s">
        <v>7</v>
      </c>
    </row>
    <row r="143" spans="2:6" x14ac:dyDescent="0.35">
      <c r="B143" s="32">
        <v>135</v>
      </c>
      <c r="C143" s="32" t="s">
        <v>18</v>
      </c>
      <c r="D143" s="32" t="s">
        <v>15</v>
      </c>
      <c r="E143" s="34">
        <v>25</v>
      </c>
      <c r="F143" s="32" t="s">
        <v>16</v>
      </c>
    </row>
    <row r="144" spans="2:6" x14ac:dyDescent="0.35">
      <c r="B144" s="32">
        <v>136</v>
      </c>
      <c r="C144" s="32" t="s">
        <v>5</v>
      </c>
      <c r="D144" s="32" t="s">
        <v>10</v>
      </c>
      <c r="E144" s="34">
        <v>400</v>
      </c>
      <c r="F144" s="32" t="s">
        <v>11</v>
      </c>
    </row>
    <row r="145" spans="2:6" x14ac:dyDescent="0.35">
      <c r="B145" s="32">
        <v>137</v>
      </c>
      <c r="C145" s="32" t="s">
        <v>5</v>
      </c>
      <c r="D145" s="32" t="s">
        <v>15</v>
      </c>
      <c r="E145" s="34">
        <v>25</v>
      </c>
      <c r="F145" s="32" t="s">
        <v>16</v>
      </c>
    </row>
    <row r="146" spans="2:6" x14ac:dyDescent="0.35">
      <c r="B146" s="32">
        <v>138</v>
      </c>
      <c r="C146" s="32" t="s">
        <v>14</v>
      </c>
      <c r="D146" s="32" t="s">
        <v>10</v>
      </c>
      <c r="E146" s="34">
        <v>400</v>
      </c>
      <c r="F146" s="32" t="s">
        <v>7</v>
      </c>
    </row>
    <row r="147" spans="2:6" x14ac:dyDescent="0.35">
      <c r="B147" s="32">
        <v>139</v>
      </c>
      <c r="C147" s="32" t="s">
        <v>9</v>
      </c>
      <c r="D147" s="32" t="s">
        <v>17</v>
      </c>
      <c r="E147" s="34">
        <v>600</v>
      </c>
      <c r="F147" s="32" t="s">
        <v>16</v>
      </c>
    </row>
    <row r="148" spans="2:6" x14ac:dyDescent="0.35">
      <c r="B148" s="32">
        <v>140</v>
      </c>
      <c r="C148" s="32" t="s">
        <v>18</v>
      </c>
      <c r="D148" s="32" t="s">
        <v>17</v>
      </c>
      <c r="E148" s="34">
        <v>600</v>
      </c>
      <c r="F148" s="32" t="s">
        <v>7</v>
      </c>
    </row>
    <row r="149" spans="2:6" x14ac:dyDescent="0.35">
      <c r="B149" s="32">
        <v>141</v>
      </c>
      <c r="C149" s="32" t="s">
        <v>9</v>
      </c>
      <c r="D149" s="32" t="s">
        <v>13</v>
      </c>
      <c r="E149" s="34">
        <v>130</v>
      </c>
      <c r="F149" s="32" t="s">
        <v>7</v>
      </c>
    </row>
    <row r="150" spans="2:6" x14ac:dyDescent="0.35">
      <c r="B150" s="32">
        <v>142</v>
      </c>
      <c r="C150" s="32" t="s">
        <v>5</v>
      </c>
      <c r="D150" s="32" t="s">
        <v>15</v>
      </c>
      <c r="E150" s="34">
        <v>25</v>
      </c>
      <c r="F150" s="32" t="s">
        <v>16</v>
      </c>
    </row>
    <row r="151" spans="2:6" x14ac:dyDescent="0.35">
      <c r="B151" s="32">
        <v>143</v>
      </c>
      <c r="C151" s="32" t="s">
        <v>18</v>
      </c>
      <c r="D151" s="32" t="s">
        <v>8</v>
      </c>
      <c r="E151" s="34">
        <v>350</v>
      </c>
      <c r="F151" s="32" t="s">
        <v>7</v>
      </c>
    </row>
    <row r="152" spans="2:6" x14ac:dyDescent="0.35">
      <c r="B152" s="32">
        <v>144</v>
      </c>
      <c r="C152" s="32" t="s">
        <v>9</v>
      </c>
      <c r="D152" s="32" t="s">
        <v>10</v>
      </c>
      <c r="E152" s="34">
        <v>400</v>
      </c>
      <c r="F152" s="32" t="s">
        <v>11</v>
      </c>
    </row>
    <row r="153" spans="2:6" x14ac:dyDescent="0.35">
      <c r="B153" s="32">
        <v>145</v>
      </c>
      <c r="C153" s="32" t="s">
        <v>18</v>
      </c>
      <c r="D153" s="32" t="s">
        <v>15</v>
      </c>
      <c r="E153" s="34">
        <v>25</v>
      </c>
      <c r="F153" s="32" t="s">
        <v>16</v>
      </c>
    </row>
    <row r="154" spans="2:6" x14ac:dyDescent="0.35">
      <c r="B154" s="32">
        <v>146</v>
      </c>
      <c r="C154" s="32" t="s">
        <v>14</v>
      </c>
      <c r="D154" s="32" t="s">
        <v>17</v>
      </c>
      <c r="E154" s="34">
        <v>600</v>
      </c>
      <c r="F154" s="32" t="s">
        <v>11</v>
      </c>
    </row>
    <row r="155" spans="2:6" x14ac:dyDescent="0.35">
      <c r="B155" s="32">
        <v>147</v>
      </c>
      <c r="C155" s="32" t="s">
        <v>18</v>
      </c>
      <c r="D155" s="32" t="s">
        <v>8</v>
      </c>
      <c r="E155" s="34">
        <v>350</v>
      </c>
      <c r="F155" s="32" t="s">
        <v>16</v>
      </c>
    </row>
    <row r="156" spans="2:6" x14ac:dyDescent="0.35">
      <c r="B156" s="32">
        <v>148</v>
      </c>
      <c r="C156" s="32" t="s">
        <v>14</v>
      </c>
      <c r="D156" s="32" t="s">
        <v>15</v>
      </c>
      <c r="E156" s="34">
        <v>25</v>
      </c>
      <c r="F156" s="32" t="s">
        <v>11</v>
      </c>
    </row>
    <row r="157" spans="2:6" x14ac:dyDescent="0.35">
      <c r="B157" s="32">
        <v>149</v>
      </c>
      <c r="C157" s="32" t="s">
        <v>12</v>
      </c>
      <c r="D157" s="32" t="s">
        <v>17</v>
      </c>
      <c r="E157" s="34">
        <v>600</v>
      </c>
      <c r="F157" s="32" t="s">
        <v>11</v>
      </c>
    </row>
    <row r="158" spans="2:6" x14ac:dyDescent="0.35">
      <c r="B158" s="32">
        <v>150</v>
      </c>
      <c r="C158" s="32" t="s">
        <v>18</v>
      </c>
      <c r="D158" s="32" t="s">
        <v>6</v>
      </c>
      <c r="E158" s="34">
        <v>250</v>
      </c>
      <c r="F158" s="32" t="s">
        <v>7</v>
      </c>
    </row>
    <row r="159" spans="2:6" x14ac:dyDescent="0.35">
      <c r="B159" s="32">
        <v>151</v>
      </c>
      <c r="C159" s="32" t="s">
        <v>18</v>
      </c>
      <c r="D159" s="32" t="s">
        <v>10</v>
      </c>
      <c r="E159" s="34">
        <v>400</v>
      </c>
      <c r="F159" s="32" t="s">
        <v>16</v>
      </c>
    </row>
    <row r="160" spans="2:6" x14ac:dyDescent="0.35">
      <c r="B160" s="32">
        <v>152</v>
      </c>
      <c r="C160" s="32" t="s">
        <v>12</v>
      </c>
      <c r="D160" s="32" t="s">
        <v>13</v>
      </c>
      <c r="E160" s="34">
        <v>130</v>
      </c>
      <c r="F160" s="32" t="s">
        <v>11</v>
      </c>
    </row>
    <row r="161" spans="2:6" x14ac:dyDescent="0.35">
      <c r="B161" s="32">
        <v>153</v>
      </c>
      <c r="C161" s="32" t="s">
        <v>9</v>
      </c>
      <c r="D161" s="32" t="s">
        <v>17</v>
      </c>
      <c r="E161" s="34">
        <v>600</v>
      </c>
      <c r="F161" s="32" t="s">
        <v>7</v>
      </c>
    </row>
    <row r="162" spans="2:6" x14ac:dyDescent="0.35">
      <c r="B162" s="32">
        <v>154</v>
      </c>
      <c r="C162" s="32" t="s">
        <v>14</v>
      </c>
      <c r="D162" s="32" t="s">
        <v>13</v>
      </c>
      <c r="E162" s="34">
        <v>130</v>
      </c>
      <c r="F162" s="32" t="s">
        <v>7</v>
      </c>
    </row>
    <row r="163" spans="2:6" x14ac:dyDescent="0.35">
      <c r="B163" s="32">
        <v>155</v>
      </c>
      <c r="C163" s="32" t="s">
        <v>12</v>
      </c>
      <c r="D163" s="32" t="s">
        <v>6</v>
      </c>
      <c r="E163" s="34">
        <v>250</v>
      </c>
      <c r="F163" s="32" t="s">
        <v>16</v>
      </c>
    </row>
    <row r="164" spans="2:6" x14ac:dyDescent="0.35">
      <c r="B164" s="32">
        <v>156</v>
      </c>
      <c r="C164" s="32" t="s">
        <v>14</v>
      </c>
      <c r="D164" s="32" t="s">
        <v>15</v>
      </c>
      <c r="E164" s="34">
        <v>25</v>
      </c>
      <c r="F164" s="32" t="s">
        <v>16</v>
      </c>
    </row>
    <row r="165" spans="2:6" x14ac:dyDescent="0.35">
      <c r="B165" s="32">
        <v>157</v>
      </c>
      <c r="C165" s="32" t="s">
        <v>14</v>
      </c>
      <c r="D165" s="32" t="s">
        <v>10</v>
      </c>
      <c r="E165" s="34">
        <v>400</v>
      </c>
      <c r="F165" s="32" t="s">
        <v>7</v>
      </c>
    </row>
    <row r="166" spans="2:6" x14ac:dyDescent="0.35">
      <c r="B166" s="32">
        <v>158</v>
      </c>
      <c r="C166" s="32" t="s">
        <v>14</v>
      </c>
      <c r="D166" s="32" t="s">
        <v>15</v>
      </c>
      <c r="E166" s="34">
        <v>25</v>
      </c>
      <c r="F166" s="32" t="s">
        <v>16</v>
      </c>
    </row>
    <row r="167" spans="2:6" x14ac:dyDescent="0.35">
      <c r="B167" s="32">
        <v>159</v>
      </c>
      <c r="C167" s="32" t="s">
        <v>9</v>
      </c>
      <c r="D167" s="32" t="s">
        <v>17</v>
      </c>
      <c r="E167" s="34">
        <v>600</v>
      </c>
      <c r="F167" s="32" t="s">
        <v>16</v>
      </c>
    </row>
    <row r="168" spans="2:6" x14ac:dyDescent="0.35">
      <c r="B168" s="32">
        <v>160</v>
      </c>
      <c r="C168" s="32" t="s">
        <v>5</v>
      </c>
      <c r="D168" s="32" t="s">
        <v>8</v>
      </c>
      <c r="E168" s="34">
        <v>350</v>
      </c>
      <c r="F168" s="32" t="s">
        <v>7</v>
      </c>
    </row>
    <row r="169" spans="2:6" x14ac:dyDescent="0.35">
      <c r="B169" s="32">
        <v>161</v>
      </c>
      <c r="C169" s="32" t="s">
        <v>12</v>
      </c>
      <c r="D169" s="32" t="s">
        <v>15</v>
      </c>
      <c r="E169" s="34">
        <v>25</v>
      </c>
      <c r="F169" s="32" t="s">
        <v>7</v>
      </c>
    </row>
    <row r="170" spans="2:6" x14ac:dyDescent="0.35">
      <c r="B170" s="32">
        <v>162</v>
      </c>
      <c r="C170" s="32" t="s">
        <v>5</v>
      </c>
      <c r="D170" s="32" t="s">
        <v>10</v>
      </c>
      <c r="E170" s="34">
        <v>400</v>
      </c>
      <c r="F170" s="32" t="s">
        <v>7</v>
      </c>
    </row>
    <row r="171" spans="2:6" x14ac:dyDescent="0.35">
      <c r="B171" s="32">
        <v>163</v>
      </c>
      <c r="C171" s="32" t="s">
        <v>18</v>
      </c>
      <c r="D171" s="32" t="s">
        <v>17</v>
      </c>
      <c r="E171" s="34">
        <v>600</v>
      </c>
      <c r="F171" s="32" t="s">
        <v>7</v>
      </c>
    </row>
    <row r="172" spans="2:6" x14ac:dyDescent="0.35">
      <c r="B172" s="32">
        <v>164</v>
      </c>
      <c r="C172" s="32" t="s">
        <v>12</v>
      </c>
      <c r="D172" s="32" t="s">
        <v>17</v>
      </c>
      <c r="E172" s="34">
        <v>600</v>
      </c>
      <c r="F172" s="32" t="s">
        <v>11</v>
      </c>
    </row>
    <row r="173" spans="2:6" x14ac:dyDescent="0.35">
      <c r="B173" s="32">
        <v>165</v>
      </c>
      <c r="C173" s="32" t="s">
        <v>5</v>
      </c>
      <c r="D173" s="32" t="s">
        <v>15</v>
      </c>
      <c r="E173" s="34">
        <v>25</v>
      </c>
      <c r="F173" s="32" t="s">
        <v>16</v>
      </c>
    </row>
    <row r="174" spans="2:6" x14ac:dyDescent="0.35">
      <c r="B174" s="32">
        <v>166</v>
      </c>
      <c r="C174" s="32" t="s">
        <v>5</v>
      </c>
      <c r="D174" s="32" t="s">
        <v>10</v>
      </c>
      <c r="E174" s="34">
        <v>400</v>
      </c>
      <c r="F174" s="32" t="s">
        <v>7</v>
      </c>
    </row>
    <row r="175" spans="2:6" x14ac:dyDescent="0.35">
      <c r="B175" s="32">
        <v>167</v>
      </c>
      <c r="C175" s="32" t="s">
        <v>18</v>
      </c>
      <c r="D175" s="32" t="s">
        <v>13</v>
      </c>
      <c r="E175" s="34">
        <v>130</v>
      </c>
      <c r="F175" s="32" t="s">
        <v>7</v>
      </c>
    </row>
    <row r="176" spans="2:6" x14ac:dyDescent="0.35">
      <c r="B176" s="32">
        <v>168</v>
      </c>
      <c r="C176" s="32" t="s">
        <v>12</v>
      </c>
      <c r="D176" s="32" t="s">
        <v>15</v>
      </c>
      <c r="E176" s="34">
        <v>25</v>
      </c>
      <c r="F176" s="32" t="s">
        <v>11</v>
      </c>
    </row>
    <row r="177" spans="2:6" x14ac:dyDescent="0.35">
      <c r="B177" s="32">
        <v>169</v>
      </c>
      <c r="C177" s="32" t="s">
        <v>9</v>
      </c>
      <c r="D177" s="32" t="s">
        <v>17</v>
      </c>
      <c r="E177" s="34">
        <v>600</v>
      </c>
      <c r="F177" s="32" t="s">
        <v>11</v>
      </c>
    </row>
    <row r="178" spans="2:6" x14ac:dyDescent="0.35">
      <c r="B178" s="32">
        <v>170</v>
      </c>
      <c r="C178" s="32" t="s">
        <v>12</v>
      </c>
      <c r="D178" s="32" t="s">
        <v>10</v>
      </c>
      <c r="E178" s="34">
        <v>400</v>
      </c>
      <c r="F178" s="32" t="s">
        <v>7</v>
      </c>
    </row>
    <row r="179" spans="2:6" x14ac:dyDescent="0.35">
      <c r="B179" s="32">
        <v>171</v>
      </c>
      <c r="C179" s="32" t="s">
        <v>14</v>
      </c>
      <c r="D179" s="32" t="s">
        <v>8</v>
      </c>
      <c r="E179" s="34">
        <v>350</v>
      </c>
      <c r="F179" s="32" t="s">
        <v>7</v>
      </c>
    </row>
    <row r="180" spans="2:6" x14ac:dyDescent="0.35">
      <c r="B180" s="32">
        <v>172</v>
      </c>
      <c r="C180" s="32" t="s">
        <v>18</v>
      </c>
      <c r="D180" s="32" t="s">
        <v>17</v>
      </c>
      <c r="E180" s="34">
        <v>600</v>
      </c>
      <c r="F180" s="32" t="s">
        <v>7</v>
      </c>
    </row>
    <row r="181" spans="2:6" x14ac:dyDescent="0.35">
      <c r="B181" s="32">
        <v>173</v>
      </c>
      <c r="C181" s="32" t="s">
        <v>12</v>
      </c>
      <c r="D181" s="32" t="s">
        <v>10</v>
      </c>
      <c r="E181" s="34">
        <v>400</v>
      </c>
      <c r="F181" s="32" t="s">
        <v>11</v>
      </c>
    </row>
    <row r="182" spans="2:6" x14ac:dyDescent="0.35">
      <c r="B182" s="32">
        <v>174</v>
      </c>
      <c r="C182" s="32" t="s">
        <v>12</v>
      </c>
      <c r="D182" s="32" t="s">
        <v>8</v>
      </c>
      <c r="E182" s="34">
        <v>350</v>
      </c>
      <c r="F182" s="32" t="s">
        <v>11</v>
      </c>
    </row>
    <row r="183" spans="2:6" x14ac:dyDescent="0.35">
      <c r="B183" s="32">
        <v>175</v>
      </c>
      <c r="C183" s="32" t="s">
        <v>9</v>
      </c>
      <c r="D183" s="32" t="s">
        <v>10</v>
      </c>
      <c r="E183" s="34">
        <v>400</v>
      </c>
      <c r="F183" s="32" t="s">
        <v>7</v>
      </c>
    </row>
    <row r="184" spans="2:6" x14ac:dyDescent="0.35">
      <c r="B184" s="32">
        <v>176</v>
      </c>
      <c r="C184" s="32" t="s">
        <v>14</v>
      </c>
      <c r="D184" s="32" t="s">
        <v>8</v>
      </c>
      <c r="E184" s="34">
        <v>350</v>
      </c>
      <c r="F184" s="32" t="s">
        <v>7</v>
      </c>
    </row>
    <row r="185" spans="2:6" x14ac:dyDescent="0.35">
      <c r="B185" s="32">
        <v>177</v>
      </c>
      <c r="C185" s="32" t="s">
        <v>9</v>
      </c>
      <c r="D185" s="32" t="s">
        <v>17</v>
      </c>
      <c r="E185" s="34">
        <v>600</v>
      </c>
      <c r="F185" s="32" t="s">
        <v>16</v>
      </c>
    </row>
    <row r="186" spans="2:6" x14ac:dyDescent="0.35">
      <c r="B186" s="32">
        <v>178</v>
      </c>
      <c r="C186" s="32" t="s">
        <v>9</v>
      </c>
      <c r="D186" s="32" t="s">
        <v>17</v>
      </c>
      <c r="E186" s="34">
        <v>600</v>
      </c>
      <c r="F186" s="32" t="s">
        <v>7</v>
      </c>
    </row>
    <row r="187" spans="2:6" x14ac:dyDescent="0.35">
      <c r="B187" s="32">
        <v>179</v>
      </c>
      <c r="C187" s="32" t="s">
        <v>12</v>
      </c>
      <c r="D187" s="32" t="s">
        <v>8</v>
      </c>
      <c r="E187" s="34">
        <v>350</v>
      </c>
      <c r="F187" s="32" t="s">
        <v>7</v>
      </c>
    </row>
    <row r="188" spans="2:6" x14ac:dyDescent="0.35">
      <c r="B188" s="32">
        <v>180</v>
      </c>
      <c r="C188" s="32" t="s">
        <v>5</v>
      </c>
      <c r="D188" s="32" t="s">
        <v>17</v>
      </c>
      <c r="E188" s="34">
        <v>600</v>
      </c>
      <c r="F188" s="32" t="s">
        <v>7</v>
      </c>
    </row>
    <row r="189" spans="2:6" x14ac:dyDescent="0.35">
      <c r="B189" s="32">
        <v>181</v>
      </c>
      <c r="C189" s="32" t="s">
        <v>18</v>
      </c>
      <c r="D189" s="32" t="s">
        <v>6</v>
      </c>
      <c r="E189" s="34">
        <v>250</v>
      </c>
      <c r="F189" s="32" t="s">
        <v>16</v>
      </c>
    </row>
    <row r="190" spans="2:6" x14ac:dyDescent="0.35">
      <c r="B190" s="32">
        <v>182</v>
      </c>
      <c r="C190" s="32" t="s">
        <v>18</v>
      </c>
      <c r="D190" s="32" t="s">
        <v>10</v>
      </c>
      <c r="E190" s="34">
        <v>400</v>
      </c>
      <c r="F190" s="32" t="s">
        <v>11</v>
      </c>
    </row>
    <row r="191" spans="2:6" x14ac:dyDescent="0.35">
      <c r="B191" s="32">
        <v>183</v>
      </c>
      <c r="C191" s="32" t="s">
        <v>9</v>
      </c>
      <c r="D191" s="32" t="s">
        <v>10</v>
      </c>
      <c r="E191" s="34">
        <v>400</v>
      </c>
      <c r="F191" s="32" t="s">
        <v>16</v>
      </c>
    </row>
    <row r="192" spans="2:6" x14ac:dyDescent="0.35">
      <c r="B192" s="32">
        <v>184</v>
      </c>
      <c r="C192" s="32" t="s">
        <v>14</v>
      </c>
      <c r="D192" s="32" t="s">
        <v>17</v>
      </c>
      <c r="E192" s="34">
        <v>600</v>
      </c>
      <c r="F192" s="32" t="s">
        <v>7</v>
      </c>
    </row>
    <row r="193" spans="2:6" x14ac:dyDescent="0.35">
      <c r="B193" s="32">
        <v>185</v>
      </c>
      <c r="C193" s="32" t="s">
        <v>12</v>
      </c>
      <c r="D193" s="32" t="s">
        <v>8</v>
      </c>
      <c r="E193" s="34">
        <v>350</v>
      </c>
      <c r="F193" s="32" t="s">
        <v>16</v>
      </c>
    </row>
    <row r="194" spans="2:6" x14ac:dyDescent="0.35">
      <c r="B194" s="32">
        <v>186</v>
      </c>
      <c r="C194" s="32" t="s">
        <v>14</v>
      </c>
      <c r="D194" s="32" t="s">
        <v>6</v>
      </c>
      <c r="E194" s="34">
        <v>250</v>
      </c>
      <c r="F194" s="32" t="s">
        <v>11</v>
      </c>
    </row>
    <row r="195" spans="2:6" x14ac:dyDescent="0.35">
      <c r="B195" s="32">
        <v>187</v>
      </c>
      <c r="C195" s="32" t="s">
        <v>12</v>
      </c>
      <c r="D195" s="32" t="s">
        <v>8</v>
      </c>
      <c r="E195" s="34">
        <v>350</v>
      </c>
      <c r="F195" s="32" t="s">
        <v>7</v>
      </c>
    </row>
    <row r="196" spans="2:6" x14ac:dyDescent="0.35">
      <c r="B196" s="32">
        <v>188</v>
      </c>
      <c r="C196" s="32" t="s">
        <v>5</v>
      </c>
      <c r="D196" s="32" t="s">
        <v>6</v>
      </c>
      <c r="E196" s="34">
        <v>250</v>
      </c>
      <c r="F196" s="32" t="s">
        <v>7</v>
      </c>
    </row>
    <row r="197" spans="2:6" x14ac:dyDescent="0.35">
      <c r="B197" s="32">
        <v>189</v>
      </c>
      <c r="C197" s="32" t="s">
        <v>12</v>
      </c>
      <c r="D197" s="32" t="s">
        <v>10</v>
      </c>
      <c r="E197" s="34">
        <v>400</v>
      </c>
      <c r="F197" s="32" t="s">
        <v>11</v>
      </c>
    </row>
    <row r="198" spans="2:6" x14ac:dyDescent="0.35">
      <c r="B198" s="32">
        <v>190</v>
      </c>
      <c r="C198" s="32" t="s">
        <v>18</v>
      </c>
      <c r="D198" s="32" t="s">
        <v>15</v>
      </c>
      <c r="E198" s="34">
        <v>25</v>
      </c>
      <c r="F198" s="32" t="s">
        <v>7</v>
      </c>
    </row>
    <row r="199" spans="2:6" x14ac:dyDescent="0.35">
      <c r="B199" s="32">
        <v>191</v>
      </c>
      <c r="C199" s="32" t="s">
        <v>12</v>
      </c>
      <c r="D199" s="32" t="s">
        <v>8</v>
      </c>
      <c r="E199" s="34">
        <v>350</v>
      </c>
      <c r="F199" s="32" t="s">
        <v>7</v>
      </c>
    </row>
    <row r="200" spans="2:6" x14ac:dyDescent="0.35">
      <c r="B200" s="32">
        <v>192</v>
      </c>
      <c r="C200" s="32" t="s">
        <v>9</v>
      </c>
      <c r="D200" s="32" t="s">
        <v>6</v>
      </c>
      <c r="E200" s="34">
        <v>250</v>
      </c>
      <c r="F200" s="32" t="s">
        <v>11</v>
      </c>
    </row>
    <row r="201" spans="2:6" x14ac:dyDescent="0.35">
      <c r="B201" s="32">
        <v>193</v>
      </c>
      <c r="C201" s="32" t="s">
        <v>18</v>
      </c>
      <c r="D201" s="32" t="s">
        <v>8</v>
      </c>
      <c r="E201" s="34">
        <v>350</v>
      </c>
      <c r="F201" s="32" t="s">
        <v>16</v>
      </c>
    </row>
    <row r="202" spans="2:6" x14ac:dyDescent="0.35">
      <c r="B202" s="32">
        <v>194</v>
      </c>
      <c r="C202" s="32" t="s">
        <v>5</v>
      </c>
      <c r="D202" s="32" t="s">
        <v>6</v>
      </c>
      <c r="E202" s="34">
        <v>250</v>
      </c>
      <c r="F202" s="32" t="s">
        <v>7</v>
      </c>
    </row>
    <row r="203" spans="2:6" x14ac:dyDescent="0.35">
      <c r="B203" s="32">
        <v>195</v>
      </c>
      <c r="C203" s="32" t="s">
        <v>14</v>
      </c>
      <c r="D203" s="32" t="s">
        <v>13</v>
      </c>
      <c r="E203" s="34">
        <v>130</v>
      </c>
      <c r="F203" s="32" t="s">
        <v>16</v>
      </c>
    </row>
    <row r="204" spans="2:6" x14ac:dyDescent="0.35">
      <c r="B204" s="32">
        <v>196</v>
      </c>
      <c r="C204" s="32" t="s">
        <v>14</v>
      </c>
      <c r="D204" s="32" t="s">
        <v>17</v>
      </c>
      <c r="E204" s="34">
        <v>600</v>
      </c>
      <c r="F204" s="32" t="s">
        <v>7</v>
      </c>
    </row>
    <row r="205" spans="2:6" x14ac:dyDescent="0.35">
      <c r="B205" s="32">
        <v>197</v>
      </c>
      <c r="C205" s="32" t="s">
        <v>5</v>
      </c>
      <c r="D205" s="32" t="s">
        <v>6</v>
      </c>
      <c r="E205" s="34">
        <v>250</v>
      </c>
      <c r="F205" s="32" t="s">
        <v>7</v>
      </c>
    </row>
    <row r="206" spans="2:6" x14ac:dyDescent="0.35">
      <c r="B206" s="32">
        <v>198</v>
      </c>
      <c r="C206" s="32" t="s">
        <v>14</v>
      </c>
      <c r="D206" s="32" t="s">
        <v>17</v>
      </c>
      <c r="E206" s="34">
        <v>600</v>
      </c>
      <c r="F206" s="32" t="s">
        <v>11</v>
      </c>
    </row>
    <row r="207" spans="2:6" x14ac:dyDescent="0.35">
      <c r="B207" s="32">
        <v>199</v>
      </c>
      <c r="C207" s="32" t="s">
        <v>14</v>
      </c>
      <c r="D207" s="32" t="s">
        <v>15</v>
      </c>
      <c r="E207" s="34">
        <v>25</v>
      </c>
      <c r="F207" s="32" t="s">
        <v>7</v>
      </c>
    </row>
    <row r="208" spans="2:6" x14ac:dyDescent="0.35">
      <c r="B208" s="32">
        <v>200</v>
      </c>
      <c r="C208" s="32" t="s">
        <v>12</v>
      </c>
      <c r="D208" s="32" t="s">
        <v>15</v>
      </c>
      <c r="E208" s="34">
        <v>25</v>
      </c>
      <c r="F208" s="32" t="s">
        <v>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2BB18-14A4-4903-B0E3-C7B68259C339}">
  <sheetPr codeName="Hoja2"/>
  <dimension ref="C4:E27"/>
  <sheetViews>
    <sheetView tabSelected="1" workbookViewId="0">
      <selection activeCell="C11" sqref="C11:E11"/>
    </sheetView>
  </sheetViews>
  <sheetFormatPr baseColWidth="10" defaultRowHeight="14.5" x14ac:dyDescent="0.35"/>
  <sheetData>
    <row r="4" spans="3:5" x14ac:dyDescent="0.35">
      <c r="D4" s="30" t="s">
        <v>49</v>
      </c>
      <c r="E4" s="29"/>
    </row>
    <row r="5" spans="3:5" x14ac:dyDescent="0.35">
      <c r="D5" s="30" t="s">
        <v>50</v>
      </c>
      <c r="E5" s="29"/>
    </row>
    <row r="6" spans="3:5" x14ac:dyDescent="0.35">
      <c r="D6" s="30" t="s">
        <v>51</v>
      </c>
      <c r="E6" s="29"/>
    </row>
    <row r="10" spans="3:5" x14ac:dyDescent="0.35">
      <c r="C10" s="31" t="s">
        <v>49</v>
      </c>
      <c r="D10" s="31" t="s">
        <v>50</v>
      </c>
      <c r="E10" s="31" t="s">
        <v>51</v>
      </c>
    </row>
    <row r="11" spans="3:5" x14ac:dyDescent="0.35">
      <c r="C11" s="29" t="s">
        <v>56</v>
      </c>
      <c r="D11" s="29" t="s">
        <v>57</v>
      </c>
      <c r="E11" s="29" t="s">
        <v>58</v>
      </c>
    </row>
    <row r="12" spans="3:5" x14ac:dyDescent="0.35">
      <c r="C12" s="29" t="s">
        <v>56</v>
      </c>
      <c r="D12" s="29" t="s">
        <v>57</v>
      </c>
      <c r="E12" s="29" t="s">
        <v>58</v>
      </c>
    </row>
    <row r="13" spans="3:5" x14ac:dyDescent="0.35">
      <c r="C13" s="29" t="s">
        <v>54</v>
      </c>
      <c r="D13" s="29" t="s">
        <v>55</v>
      </c>
      <c r="E13" s="29">
        <v>123456779</v>
      </c>
    </row>
    <row r="14" spans="3:5" x14ac:dyDescent="0.35">
      <c r="C14" s="29" t="s">
        <v>54</v>
      </c>
      <c r="D14" s="29" t="s">
        <v>55</v>
      </c>
      <c r="E14" s="29">
        <v>123456779</v>
      </c>
    </row>
    <row r="15" spans="3:5" x14ac:dyDescent="0.35">
      <c r="C15" s="29" t="s">
        <v>54</v>
      </c>
      <c r="D15" s="29" t="s">
        <v>55</v>
      </c>
      <c r="E15" s="29">
        <v>123456779</v>
      </c>
    </row>
    <row r="16" spans="3:5" x14ac:dyDescent="0.35">
      <c r="C16" s="29" t="s">
        <v>54</v>
      </c>
      <c r="D16" s="29" t="s">
        <v>55</v>
      </c>
      <c r="E16" s="29">
        <v>123456779</v>
      </c>
    </row>
    <row r="17" spans="3:5" x14ac:dyDescent="0.35">
      <c r="C17" s="29" t="s">
        <v>54</v>
      </c>
      <c r="D17" s="29" t="s">
        <v>55</v>
      </c>
      <c r="E17" s="29">
        <v>123456779</v>
      </c>
    </row>
    <row r="18" spans="3:5" x14ac:dyDescent="0.35">
      <c r="C18" s="29" t="s">
        <v>54</v>
      </c>
      <c r="D18" s="29" t="s">
        <v>55</v>
      </c>
      <c r="E18" s="29">
        <v>123456779</v>
      </c>
    </row>
    <row r="19" spans="3:5" x14ac:dyDescent="0.35">
      <c r="C19" s="29" t="s">
        <v>54</v>
      </c>
      <c r="D19" s="29" t="s">
        <v>55</v>
      </c>
      <c r="E19" s="29">
        <v>123456779</v>
      </c>
    </row>
    <row r="20" spans="3:5" x14ac:dyDescent="0.35">
      <c r="C20" s="29" t="s">
        <v>54</v>
      </c>
      <c r="D20" s="29" t="s">
        <v>55</v>
      </c>
      <c r="E20" s="29">
        <v>123456779</v>
      </c>
    </row>
    <row r="21" spans="3:5" x14ac:dyDescent="0.35">
      <c r="C21" s="29" t="s">
        <v>54</v>
      </c>
      <c r="D21" s="29" t="s">
        <v>55</v>
      </c>
      <c r="E21" s="29">
        <v>123456779</v>
      </c>
    </row>
    <row r="22" spans="3:5" x14ac:dyDescent="0.35">
      <c r="C22" s="29" t="s">
        <v>54</v>
      </c>
      <c r="D22" s="29" t="s">
        <v>55</v>
      </c>
      <c r="E22" s="29">
        <v>123456779</v>
      </c>
    </row>
    <row r="23" spans="3:5" x14ac:dyDescent="0.35">
      <c r="C23" s="29" t="s">
        <v>54</v>
      </c>
      <c r="D23" s="29" t="s">
        <v>55</v>
      </c>
      <c r="E23" s="29">
        <v>123456779</v>
      </c>
    </row>
    <row r="24" spans="3:5" x14ac:dyDescent="0.35">
      <c r="C24" s="29" t="s">
        <v>54</v>
      </c>
      <c r="D24" s="29" t="s">
        <v>55</v>
      </c>
      <c r="E24" s="29">
        <v>123456779</v>
      </c>
    </row>
    <row r="25" spans="3:5" x14ac:dyDescent="0.35">
      <c r="C25" s="29" t="s">
        <v>54</v>
      </c>
      <c r="D25" s="29" t="s">
        <v>55</v>
      </c>
      <c r="E25" s="29">
        <v>123456779</v>
      </c>
    </row>
    <row r="26" spans="3:5" x14ac:dyDescent="0.35">
      <c r="C26" s="29" t="s">
        <v>52</v>
      </c>
      <c r="D26" s="29" t="s">
        <v>53</v>
      </c>
      <c r="E26" s="29">
        <v>123456779</v>
      </c>
    </row>
    <row r="27" spans="3:5" x14ac:dyDescent="0.35">
      <c r="C27" s="29"/>
      <c r="D27" s="29"/>
      <c r="E27" s="2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8418-B2B8-4112-AB8A-E69F3384CF9C}">
  <sheetPr codeName="Hoja3"/>
  <dimension ref="B5:J209"/>
  <sheetViews>
    <sheetView workbookViewId="0">
      <selection activeCell="L8" sqref="L8"/>
    </sheetView>
  </sheetViews>
  <sheetFormatPr baseColWidth="10" defaultRowHeight="14.5" x14ac:dyDescent="0.35"/>
  <sheetData>
    <row r="5" spans="2:10" x14ac:dyDescent="0.35">
      <c r="H5" t="s">
        <v>60</v>
      </c>
    </row>
    <row r="8" spans="2:10" ht="18.5" x14ac:dyDescent="0.45">
      <c r="B8" s="1" t="s">
        <v>0</v>
      </c>
      <c r="C8" s="1" t="s">
        <v>1</v>
      </c>
      <c r="D8" s="1" t="s">
        <v>2</v>
      </c>
      <c r="E8" s="2" t="s">
        <v>3</v>
      </c>
      <c r="F8" s="1" t="s">
        <v>4</v>
      </c>
      <c r="H8" t="s">
        <v>42</v>
      </c>
      <c r="J8" t="s">
        <v>59</v>
      </c>
    </row>
    <row r="9" spans="2:10" x14ac:dyDescent="0.35">
      <c r="B9">
        <v>1</v>
      </c>
      <c r="C9" t="s">
        <v>5</v>
      </c>
      <c r="D9" t="s">
        <v>6</v>
      </c>
      <c r="E9" s="3">
        <v>250</v>
      </c>
      <c r="F9" t="s">
        <v>7</v>
      </c>
      <c r="J9" t="str">
        <f>IF(B10-B9=1,"NORMAL","FALTA")</f>
        <v>NORMAL</v>
      </c>
    </row>
    <row r="10" spans="2:10" x14ac:dyDescent="0.35">
      <c r="B10">
        <v>2</v>
      </c>
      <c r="C10" t="s">
        <v>5</v>
      </c>
      <c r="D10" t="s">
        <v>8</v>
      </c>
      <c r="E10" s="3">
        <v>350</v>
      </c>
      <c r="F10" t="s">
        <v>7</v>
      </c>
      <c r="H10" t="str">
        <f>IF(B12-B10=1,"-","Aquí ---")</f>
        <v>Aquí ---</v>
      </c>
      <c r="J10" t="str">
        <f t="shared" ref="J10:J15" si="0">IF(B11-B10=1,"NORMAL","FALTA")</f>
        <v>NORMAL</v>
      </c>
    </row>
    <row r="11" spans="2:10" x14ac:dyDescent="0.35">
      <c r="B11">
        <v>3</v>
      </c>
      <c r="C11" t="s">
        <v>9</v>
      </c>
      <c r="D11" t="s">
        <v>10</v>
      </c>
      <c r="E11" s="3">
        <v>400</v>
      </c>
      <c r="F11" t="s">
        <v>11</v>
      </c>
      <c r="J11" t="str">
        <f t="shared" si="0"/>
        <v>NORMAL</v>
      </c>
    </row>
    <row r="12" spans="2:10" x14ac:dyDescent="0.35">
      <c r="B12">
        <v>4</v>
      </c>
      <c r="C12" t="s">
        <v>9</v>
      </c>
      <c r="D12" t="s">
        <v>10</v>
      </c>
      <c r="E12" s="3">
        <v>400</v>
      </c>
      <c r="F12" t="s">
        <v>11</v>
      </c>
      <c r="J12" t="str">
        <f t="shared" si="0"/>
        <v>NORMAL</v>
      </c>
    </row>
    <row r="13" spans="2:10" x14ac:dyDescent="0.35">
      <c r="B13">
        <v>5</v>
      </c>
      <c r="C13" t="s">
        <v>9</v>
      </c>
      <c r="D13" t="s">
        <v>13</v>
      </c>
      <c r="E13" s="3">
        <v>130</v>
      </c>
      <c r="F13" t="s">
        <v>7</v>
      </c>
      <c r="J13" t="str">
        <f t="shared" si="0"/>
        <v>NORMAL</v>
      </c>
    </row>
    <row r="14" spans="2:10" x14ac:dyDescent="0.35">
      <c r="B14">
        <v>6</v>
      </c>
      <c r="C14" t="s">
        <v>14</v>
      </c>
      <c r="D14" t="s">
        <v>15</v>
      </c>
      <c r="E14" s="3">
        <v>25</v>
      </c>
      <c r="F14" t="s">
        <v>16</v>
      </c>
      <c r="H14" t="str">
        <f t="shared" ref="H14:H45" si="1">IF(B14-B13=1,"-","Aquí ---")</f>
        <v>-</v>
      </c>
      <c r="J14" t="str">
        <f t="shared" si="0"/>
        <v>NORMAL</v>
      </c>
    </row>
    <row r="15" spans="2:10" x14ac:dyDescent="0.35">
      <c r="B15">
        <v>7</v>
      </c>
      <c r="C15" t="s">
        <v>5</v>
      </c>
      <c r="D15" t="s">
        <v>10</v>
      </c>
      <c r="E15" s="3">
        <v>400</v>
      </c>
      <c r="F15" t="s">
        <v>7</v>
      </c>
      <c r="H15" t="str">
        <f t="shared" si="1"/>
        <v>-</v>
      </c>
      <c r="J15" t="str">
        <f t="shared" si="0"/>
        <v>NORMAL</v>
      </c>
    </row>
    <row r="16" spans="2:10" x14ac:dyDescent="0.35">
      <c r="B16">
        <v>8</v>
      </c>
      <c r="C16" t="s">
        <v>14</v>
      </c>
      <c r="D16" t="s">
        <v>17</v>
      </c>
      <c r="E16" s="3">
        <v>600</v>
      </c>
      <c r="F16" t="s">
        <v>16</v>
      </c>
      <c r="H16" t="str">
        <f t="shared" si="1"/>
        <v>-</v>
      </c>
      <c r="J16" t="str">
        <f t="shared" ref="J16:J74" si="2">IF(B17-B16=1,"NORMAL","FALTA")</f>
        <v>NORMAL</v>
      </c>
    </row>
    <row r="17" spans="2:10" x14ac:dyDescent="0.35">
      <c r="B17">
        <v>9</v>
      </c>
      <c r="C17" t="s">
        <v>14</v>
      </c>
      <c r="D17" t="s">
        <v>13</v>
      </c>
      <c r="E17" s="3">
        <v>130</v>
      </c>
      <c r="F17" t="s">
        <v>16</v>
      </c>
      <c r="H17" t="str">
        <f t="shared" si="1"/>
        <v>-</v>
      </c>
      <c r="J17" t="str">
        <f t="shared" si="2"/>
        <v>NORMAL</v>
      </c>
    </row>
    <row r="18" spans="2:10" x14ac:dyDescent="0.35">
      <c r="B18">
        <v>10</v>
      </c>
      <c r="C18" t="s">
        <v>14</v>
      </c>
      <c r="D18" t="s">
        <v>10</v>
      </c>
      <c r="E18" s="3">
        <v>400</v>
      </c>
      <c r="F18" t="s">
        <v>16</v>
      </c>
      <c r="H18" t="str">
        <f t="shared" si="1"/>
        <v>-</v>
      </c>
      <c r="J18" t="str">
        <f t="shared" si="2"/>
        <v>NORMAL</v>
      </c>
    </row>
    <row r="19" spans="2:10" x14ac:dyDescent="0.35">
      <c r="B19">
        <v>11</v>
      </c>
      <c r="C19" t="s">
        <v>18</v>
      </c>
      <c r="D19" t="s">
        <v>13</v>
      </c>
      <c r="E19" s="3">
        <v>130</v>
      </c>
      <c r="F19" t="s">
        <v>7</v>
      </c>
      <c r="H19" t="str">
        <f t="shared" si="1"/>
        <v>-</v>
      </c>
      <c r="J19" t="str">
        <f t="shared" si="2"/>
        <v>NORMAL</v>
      </c>
    </row>
    <row r="20" spans="2:10" x14ac:dyDescent="0.35">
      <c r="B20">
        <v>12</v>
      </c>
      <c r="C20" t="s">
        <v>9</v>
      </c>
      <c r="D20" t="s">
        <v>15</v>
      </c>
      <c r="E20" s="3">
        <v>25</v>
      </c>
      <c r="F20" t="s">
        <v>7</v>
      </c>
      <c r="H20" t="str">
        <f t="shared" si="1"/>
        <v>-</v>
      </c>
      <c r="J20" t="str">
        <f t="shared" si="2"/>
        <v>NORMAL</v>
      </c>
    </row>
    <row r="21" spans="2:10" x14ac:dyDescent="0.35">
      <c r="B21">
        <v>13</v>
      </c>
      <c r="C21" t="s">
        <v>14</v>
      </c>
      <c r="D21" t="s">
        <v>17</v>
      </c>
      <c r="E21" s="3">
        <v>600</v>
      </c>
      <c r="F21" t="s">
        <v>7</v>
      </c>
      <c r="H21" t="str">
        <f t="shared" si="1"/>
        <v>-</v>
      </c>
      <c r="J21" t="str">
        <f t="shared" si="2"/>
        <v>NORMAL</v>
      </c>
    </row>
    <row r="22" spans="2:10" x14ac:dyDescent="0.35">
      <c r="B22">
        <v>14</v>
      </c>
      <c r="C22" t="s">
        <v>12</v>
      </c>
      <c r="D22" t="s">
        <v>10</v>
      </c>
      <c r="E22" s="3">
        <v>400</v>
      </c>
      <c r="F22" t="s">
        <v>16</v>
      </c>
      <c r="H22" t="str">
        <f t="shared" si="1"/>
        <v>-</v>
      </c>
      <c r="J22" t="str">
        <f t="shared" si="2"/>
        <v>NORMAL</v>
      </c>
    </row>
    <row r="23" spans="2:10" x14ac:dyDescent="0.35">
      <c r="B23">
        <v>15</v>
      </c>
      <c r="C23" t="s">
        <v>18</v>
      </c>
      <c r="D23" t="s">
        <v>10</v>
      </c>
      <c r="E23" s="3">
        <v>400</v>
      </c>
      <c r="F23" t="s">
        <v>16</v>
      </c>
      <c r="H23" t="str">
        <f t="shared" si="1"/>
        <v>-</v>
      </c>
      <c r="J23" t="str">
        <f t="shared" si="2"/>
        <v>NORMAL</v>
      </c>
    </row>
    <row r="24" spans="2:10" x14ac:dyDescent="0.35">
      <c r="B24">
        <v>16</v>
      </c>
      <c r="C24" t="s">
        <v>12</v>
      </c>
      <c r="D24" t="s">
        <v>10</v>
      </c>
      <c r="E24" s="3">
        <v>400</v>
      </c>
      <c r="F24" t="s">
        <v>16</v>
      </c>
      <c r="H24" t="str">
        <f t="shared" si="1"/>
        <v>-</v>
      </c>
      <c r="J24" t="str">
        <f t="shared" si="2"/>
        <v>NORMAL</v>
      </c>
    </row>
    <row r="25" spans="2:10" x14ac:dyDescent="0.35">
      <c r="B25">
        <v>17</v>
      </c>
      <c r="C25" t="s">
        <v>18</v>
      </c>
      <c r="D25" t="s">
        <v>15</v>
      </c>
      <c r="E25" s="3">
        <v>25</v>
      </c>
      <c r="F25" t="s">
        <v>7</v>
      </c>
      <c r="H25" t="str">
        <f t="shared" si="1"/>
        <v>-</v>
      </c>
      <c r="J25" t="str">
        <f t="shared" si="2"/>
        <v>NORMAL</v>
      </c>
    </row>
    <row r="26" spans="2:10" x14ac:dyDescent="0.35">
      <c r="B26">
        <v>18</v>
      </c>
      <c r="C26" t="s">
        <v>9</v>
      </c>
      <c r="D26" t="s">
        <v>13</v>
      </c>
      <c r="E26" s="3">
        <v>130</v>
      </c>
      <c r="F26" t="s">
        <v>16</v>
      </c>
      <c r="H26" t="str">
        <f t="shared" si="1"/>
        <v>-</v>
      </c>
      <c r="J26" t="str">
        <f t="shared" si="2"/>
        <v>NORMAL</v>
      </c>
    </row>
    <row r="27" spans="2:10" x14ac:dyDescent="0.35">
      <c r="B27">
        <v>19</v>
      </c>
      <c r="C27" t="s">
        <v>12</v>
      </c>
      <c r="D27" t="s">
        <v>6</v>
      </c>
      <c r="E27" s="3">
        <v>250</v>
      </c>
      <c r="F27" t="s">
        <v>7</v>
      </c>
      <c r="H27" t="str">
        <f t="shared" si="1"/>
        <v>-</v>
      </c>
      <c r="J27" t="str">
        <f t="shared" si="2"/>
        <v>NORMAL</v>
      </c>
    </row>
    <row r="28" spans="2:10" x14ac:dyDescent="0.35">
      <c r="B28">
        <v>20</v>
      </c>
      <c r="C28" t="s">
        <v>18</v>
      </c>
      <c r="D28" t="s">
        <v>6</v>
      </c>
      <c r="E28" s="3">
        <v>250</v>
      </c>
      <c r="F28" t="s">
        <v>16</v>
      </c>
      <c r="H28" t="str">
        <f t="shared" si="1"/>
        <v>-</v>
      </c>
      <c r="J28" t="str">
        <f t="shared" si="2"/>
        <v>NORMAL</v>
      </c>
    </row>
    <row r="29" spans="2:10" x14ac:dyDescent="0.35">
      <c r="B29">
        <v>21</v>
      </c>
      <c r="C29" t="s">
        <v>18</v>
      </c>
      <c r="D29" t="s">
        <v>17</v>
      </c>
      <c r="E29" s="3">
        <v>600</v>
      </c>
      <c r="F29" t="s">
        <v>16</v>
      </c>
      <c r="H29" t="str">
        <f t="shared" si="1"/>
        <v>-</v>
      </c>
      <c r="J29" t="str">
        <f t="shared" si="2"/>
        <v>NORMAL</v>
      </c>
    </row>
    <row r="30" spans="2:10" x14ac:dyDescent="0.35">
      <c r="B30">
        <v>22</v>
      </c>
      <c r="C30" t="s">
        <v>9</v>
      </c>
      <c r="D30" t="s">
        <v>10</v>
      </c>
      <c r="E30" s="3">
        <v>400</v>
      </c>
      <c r="F30" t="s">
        <v>16</v>
      </c>
      <c r="H30" t="str">
        <f t="shared" si="1"/>
        <v>-</v>
      </c>
      <c r="J30" t="str">
        <f t="shared" si="2"/>
        <v>NORMAL</v>
      </c>
    </row>
    <row r="31" spans="2:10" x14ac:dyDescent="0.35">
      <c r="B31">
        <v>23</v>
      </c>
      <c r="C31" t="s">
        <v>14</v>
      </c>
      <c r="D31" t="s">
        <v>15</v>
      </c>
      <c r="E31" s="3">
        <v>25</v>
      </c>
      <c r="F31" t="s">
        <v>11</v>
      </c>
      <c r="H31" t="str">
        <f t="shared" si="1"/>
        <v>-</v>
      </c>
      <c r="J31" t="str">
        <f t="shared" si="2"/>
        <v>NORMAL</v>
      </c>
    </row>
    <row r="32" spans="2:10" x14ac:dyDescent="0.35">
      <c r="B32">
        <v>24</v>
      </c>
      <c r="C32" t="s">
        <v>9</v>
      </c>
      <c r="D32" t="s">
        <v>15</v>
      </c>
      <c r="E32" s="3">
        <v>25</v>
      </c>
      <c r="F32" t="s">
        <v>16</v>
      </c>
      <c r="H32" t="str">
        <f t="shared" si="1"/>
        <v>-</v>
      </c>
      <c r="J32" t="str">
        <f t="shared" si="2"/>
        <v>NORMAL</v>
      </c>
    </row>
    <row r="33" spans="2:10" x14ac:dyDescent="0.35">
      <c r="B33">
        <v>25</v>
      </c>
      <c r="C33" t="s">
        <v>9</v>
      </c>
      <c r="D33" t="s">
        <v>10</v>
      </c>
      <c r="E33" s="3">
        <v>400</v>
      </c>
      <c r="F33" t="s">
        <v>16</v>
      </c>
      <c r="H33" t="str">
        <f t="shared" si="1"/>
        <v>-</v>
      </c>
      <c r="J33" t="str">
        <f t="shared" si="2"/>
        <v>NORMAL</v>
      </c>
    </row>
    <row r="34" spans="2:10" x14ac:dyDescent="0.35">
      <c r="B34">
        <v>26</v>
      </c>
      <c r="C34" t="s">
        <v>18</v>
      </c>
      <c r="D34" t="s">
        <v>13</v>
      </c>
      <c r="E34" s="3">
        <v>130</v>
      </c>
      <c r="F34" t="s">
        <v>16</v>
      </c>
      <c r="H34" t="str">
        <f t="shared" si="1"/>
        <v>-</v>
      </c>
      <c r="J34" t="str">
        <f t="shared" si="2"/>
        <v>NORMAL</v>
      </c>
    </row>
    <row r="35" spans="2:10" x14ac:dyDescent="0.35">
      <c r="B35">
        <v>27</v>
      </c>
      <c r="C35" t="s">
        <v>9</v>
      </c>
      <c r="D35" t="s">
        <v>13</v>
      </c>
      <c r="E35" s="3">
        <v>130</v>
      </c>
      <c r="F35" t="s">
        <v>7</v>
      </c>
      <c r="H35" t="str">
        <f t="shared" si="1"/>
        <v>-</v>
      </c>
      <c r="J35" t="str">
        <f t="shared" si="2"/>
        <v>NORMAL</v>
      </c>
    </row>
    <row r="36" spans="2:10" x14ac:dyDescent="0.35">
      <c r="B36">
        <v>28</v>
      </c>
      <c r="C36" t="s">
        <v>18</v>
      </c>
      <c r="D36" t="s">
        <v>6</v>
      </c>
      <c r="E36" s="3">
        <v>250</v>
      </c>
      <c r="F36" t="s">
        <v>7</v>
      </c>
      <c r="H36" t="str">
        <f t="shared" si="1"/>
        <v>-</v>
      </c>
      <c r="J36" t="str">
        <f t="shared" si="2"/>
        <v>NORMAL</v>
      </c>
    </row>
    <row r="37" spans="2:10" x14ac:dyDescent="0.35">
      <c r="B37">
        <v>29</v>
      </c>
      <c r="C37" t="s">
        <v>9</v>
      </c>
      <c r="D37" t="s">
        <v>6</v>
      </c>
      <c r="E37" s="3">
        <v>250</v>
      </c>
      <c r="F37" t="s">
        <v>7</v>
      </c>
      <c r="H37" t="str">
        <f t="shared" si="1"/>
        <v>-</v>
      </c>
      <c r="J37" t="str">
        <f t="shared" si="2"/>
        <v>NORMAL</v>
      </c>
    </row>
    <row r="38" spans="2:10" x14ac:dyDescent="0.35">
      <c r="B38">
        <v>30</v>
      </c>
      <c r="C38" t="s">
        <v>14</v>
      </c>
      <c r="D38" t="s">
        <v>13</v>
      </c>
      <c r="E38" s="3">
        <v>130</v>
      </c>
      <c r="F38" t="s">
        <v>7</v>
      </c>
      <c r="H38" t="str">
        <f t="shared" si="1"/>
        <v>-</v>
      </c>
      <c r="J38" t="str">
        <f t="shared" si="2"/>
        <v>NORMAL</v>
      </c>
    </row>
    <row r="39" spans="2:10" x14ac:dyDescent="0.35">
      <c r="B39">
        <v>31</v>
      </c>
      <c r="C39" t="s">
        <v>14</v>
      </c>
      <c r="D39" t="s">
        <v>17</v>
      </c>
      <c r="E39" s="3">
        <v>600</v>
      </c>
      <c r="F39" t="s">
        <v>7</v>
      </c>
      <c r="H39" t="str">
        <f t="shared" si="1"/>
        <v>-</v>
      </c>
      <c r="J39" t="str">
        <f t="shared" si="2"/>
        <v>NORMAL</v>
      </c>
    </row>
    <row r="40" spans="2:10" x14ac:dyDescent="0.35">
      <c r="B40">
        <v>32</v>
      </c>
      <c r="C40" t="s">
        <v>12</v>
      </c>
      <c r="D40" t="s">
        <v>13</v>
      </c>
      <c r="E40" s="3">
        <v>130</v>
      </c>
      <c r="F40" t="s">
        <v>7</v>
      </c>
      <c r="H40" t="str">
        <f t="shared" si="1"/>
        <v>-</v>
      </c>
      <c r="J40" t="str">
        <f t="shared" si="2"/>
        <v>NORMAL</v>
      </c>
    </row>
    <row r="41" spans="2:10" x14ac:dyDescent="0.35">
      <c r="B41">
        <v>33</v>
      </c>
      <c r="C41" t="s">
        <v>12</v>
      </c>
      <c r="D41" t="s">
        <v>8</v>
      </c>
      <c r="E41" s="3">
        <v>350</v>
      </c>
      <c r="F41" t="s">
        <v>16</v>
      </c>
      <c r="H41" t="str">
        <f t="shared" si="1"/>
        <v>-</v>
      </c>
      <c r="J41" t="str">
        <f t="shared" si="2"/>
        <v>NORMAL</v>
      </c>
    </row>
    <row r="42" spans="2:10" x14ac:dyDescent="0.35">
      <c r="B42">
        <v>34</v>
      </c>
      <c r="C42" t="s">
        <v>5</v>
      </c>
      <c r="D42" t="s">
        <v>13</v>
      </c>
      <c r="E42" s="3">
        <v>130</v>
      </c>
      <c r="F42" t="s">
        <v>7</v>
      </c>
      <c r="H42" t="str">
        <f t="shared" si="1"/>
        <v>-</v>
      </c>
      <c r="J42" t="str">
        <f t="shared" si="2"/>
        <v>NORMAL</v>
      </c>
    </row>
    <row r="43" spans="2:10" x14ac:dyDescent="0.35">
      <c r="B43">
        <v>35</v>
      </c>
      <c r="C43" t="s">
        <v>12</v>
      </c>
      <c r="D43" t="s">
        <v>10</v>
      </c>
      <c r="E43" s="3">
        <v>400</v>
      </c>
      <c r="F43" t="s">
        <v>11</v>
      </c>
      <c r="H43" t="str">
        <f t="shared" si="1"/>
        <v>-</v>
      </c>
      <c r="J43" t="str">
        <f t="shared" si="2"/>
        <v>NORMAL</v>
      </c>
    </row>
    <row r="44" spans="2:10" x14ac:dyDescent="0.35">
      <c r="B44">
        <v>36</v>
      </c>
      <c r="C44" t="s">
        <v>12</v>
      </c>
      <c r="D44" t="s">
        <v>17</v>
      </c>
      <c r="E44" s="3">
        <v>600</v>
      </c>
      <c r="F44" t="s">
        <v>7</v>
      </c>
      <c r="H44" t="str">
        <f t="shared" si="1"/>
        <v>-</v>
      </c>
      <c r="J44" t="str">
        <f t="shared" si="2"/>
        <v>NORMAL</v>
      </c>
    </row>
    <row r="45" spans="2:10" x14ac:dyDescent="0.35">
      <c r="B45">
        <v>37</v>
      </c>
      <c r="C45" t="s">
        <v>5</v>
      </c>
      <c r="D45" t="s">
        <v>6</v>
      </c>
      <c r="E45" s="3">
        <v>250</v>
      </c>
      <c r="F45" t="s">
        <v>16</v>
      </c>
      <c r="H45" t="str">
        <f t="shared" si="1"/>
        <v>-</v>
      </c>
      <c r="J45" t="str">
        <f t="shared" si="2"/>
        <v>NORMAL</v>
      </c>
    </row>
    <row r="46" spans="2:10" x14ac:dyDescent="0.35">
      <c r="B46">
        <v>38</v>
      </c>
      <c r="C46" t="s">
        <v>5</v>
      </c>
      <c r="D46" t="s">
        <v>10</v>
      </c>
      <c r="E46" s="3">
        <v>400</v>
      </c>
      <c r="F46" t="s">
        <v>7</v>
      </c>
      <c r="H46" t="str">
        <f t="shared" ref="H46:H74" si="3">IF(B46-B45=1,"-","Aquí ---")</f>
        <v>-</v>
      </c>
      <c r="J46" t="str">
        <f t="shared" si="2"/>
        <v>NORMAL</v>
      </c>
    </row>
    <row r="47" spans="2:10" x14ac:dyDescent="0.35">
      <c r="B47">
        <v>39</v>
      </c>
      <c r="C47" t="s">
        <v>5</v>
      </c>
      <c r="D47" t="s">
        <v>8</v>
      </c>
      <c r="E47" s="3">
        <v>350</v>
      </c>
      <c r="F47" t="s">
        <v>16</v>
      </c>
      <c r="H47" t="str">
        <f t="shared" si="3"/>
        <v>-</v>
      </c>
      <c r="J47" t="str">
        <f t="shared" si="2"/>
        <v>NORMAL</v>
      </c>
    </row>
    <row r="48" spans="2:10" x14ac:dyDescent="0.35">
      <c r="B48">
        <v>40</v>
      </c>
      <c r="C48" t="s">
        <v>18</v>
      </c>
      <c r="D48" t="s">
        <v>8</v>
      </c>
      <c r="E48" s="3">
        <v>350</v>
      </c>
      <c r="F48" t="s">
        <v>16</v>
      </c>
      <c r="H48" t="str">
        <f t="shared" si="3"/>
        <v>-</v>
      </c>
      <c r="J48" t="str">
        <f t="shared" si="2"/>
        <v>NORMAL</v>
      </c>
    </row>
    <row r="49" spans="2:10" x14ac:dyDescent="0.35">
      <c r="B49">
        <v>41</v>
      </c>
      <c r="C49" t="s">
        <v>5</v>
      </c>
      <c r="D49" t="s">
        <v>6</v>
      </c>
      <c r="E49" s="3">
        <v>250</v>
      </c>
      <c r="F49" t="s">
        <v>7</v>
      </c>
      <c r="H49" t="str">
        <f t="shared" si="3"/>
        <v>-</v>
      </c>
      <c r="J49" t="str">
        <f t="shared" si="2"/>
        <v>NORMAL</v>
      </c>
    </row>
    <row r="50" spans="2:10" x14ac:dyDescent="0.35">
      <c r="B50">
        <v>42</v>
      </c>
      <c r="C50" t="s">
        <v>9</v>
      </c>
      <c r="D50" t="s">
        <v>15</v>
      </c>
      <c r="E50" s="3">
        <v>25</v>
      </c>
      <c r="F50" t="s">
        <v>11</v>
      </c>
      <c r="H50" t="str">
        <f t="shared" si="3"/>
        <v>-</v>
      </c>
      <c r="J50" t="str">
        <f t="shared" si="2"/>
        <v>NORMAL</v>
      </c>
    </row>
    <row r="51" spans="2:10" x14ac:dyDescent="0.35">
      <c r="B51">
        <v>43</v>
      </c>
      <c r="C51" t="s">
        <v>14</v>
      </c>
      <c r="D51" t="s">
        <v>10</v>
      </c>
      <c r="E51" s="3">
        <v>400</v>
      </c>
      <c r="F51" t="s">
        <v>7</v>
      </c>
      <c r="H51" t="str">
        <f t="shared" si="3"/>
        <v>-</v>
      </c>
      <c r="J51" t="str">
        <f t="shared" si="2"/>
        <v>NORMAL</v>
      </c>
    </row>
    <row r="52" spans="2:10" x14ac:dyDescent="0.35">
      <c r="B52">
        <v>44</v>
      </c>
      <c r="C52" t="s">
        <v>14</v>
      </c>
      <c r="D52" t="s">
        <v>17</v>
      </c>
      <c r="E52" s="3">
        <v>600</v>
      </c>
      <c r="F52" t="s">
        <v>16</v>
      </c>
      <c r="H52" t="str">
        <f t="shared" si="3"/>
        <v>-</v>
      </c>
      <c r="J52" t="str">
        <f t="shared" si="2"/>
        <v>NORMAL</v>
      </c>
    </row>
    <row r="53" spans="2:10" x14ac:dyDescent="0.35">
      <c r="B53">
        <v>45</v>
      </c>
      <c r="C53" t="s">
        <v>12</v>
      </c>
      <c r="D53" t="s">
        <v>15</v>
      </c>
      <c r="E53" s="3">
        <v>25</v>
      </c>
      <c r="F53" t="s">
        <v>16</v>
      </c>
      <c r="H53" t="str">
        <f t="shared" si="3"/>
        <v>-</v>
      </c>
      <c r="J53" t="str">
        <f t="shared" si="2"/>
        <v>NORMAL</v>
      </c>
    </row>
    <row r="54" spans="2:10" x14ac:dyDescent="0.35">
      <c r="B54">
        <v>46</v>
      </c>
      <c r="C54" t="s">
        <v>5</v>
      </c>
      <c r="D54" t="s">
        <v>8</v>
      </c>
      <c r="E54" s="3">
        <v>350</v>
      </c>
      <c r="F54" t="s">
        <v>7</v>
      </c>
      <c r="H54" t="str">
        <f t="shared" si="3"/>
        <v>-</v>
      </c>
      <c r="J54" t="str">
        <f t="shared" si="2"/>
        <v>NORMAL</v>
      </c>
    </row>
    <row r="55" spans="2:10" x14ac:dyDescent="0.35">
      <c r="B55">
        <v>47</v>
      </c>
      <c r="C55" t="s">
        <v>12</v>
      </c>
      <c r="D55" t="s">
        <v>8</v>
      </c>
      <c r="E55" s="3">
        <v>350</v>
      </c>
      <c r="F55" t="s">
        <v>16</v>
      </c>
      <c r="H55" t="str">
        <f t="shared" si="3"/>
        <v>-</v>
      </c>
      <c r="J55" t="str">
        <f t="shared" si="2"/>
        <v>NORMAL</v>
      </c>
    </row>
    <row r="56" spans="2:10" x14ac:dyDescent="0.35">
      <c r="B56">
        <v>48</v>
      </c>
      <c r="C56" t="s">
        <v>9</v>
      </c>
      <c r="D56" t="s">
        <v>13</v>
      </c>
      <c r="E56" s="3">
        <v>130</v>
      </c>
      <c r="F56" t="s">
        <v>7</v>
      </c>
      <c r="H56" t="str">
        <f t="shared" si="3"/>
        <v>-</v>
      </c>
      <c r="J56" t="str">
        <f t="shared" si="2"/>
        <v>NORMAL</v>
      </c>
    </row>
    <row r="57" spans="2:10" x14ac:dyDescent="0.35">
      <c r="B57">
        <v>49</v>
      </c>
      <c r="C57" t="s">
        <v>14</v>
      </c>
      <c r="D57" t="s">
        <v>10</v>
      </c>
      <c r="E57" s="3">
        <v>400</v>
      </c>
      <c r="F57" t="s">
        <v>16</v>
      </c>
      <c r="H57" t="str">
        <f t="shared" si="3"/>
        <v>-</v>
      </c>
      <c r="J57" t="str">
        <f t="shared" si="2"/>
        <v>NORMAL</v>
      </c>
    </row>
    <row r="58" spans="2:10" x14ac:dyDescent="0.35">
      <c r="B58">
        <v>50</v>
      </c>
      <c r="C58" t="s">
        <v>18</v>
      </c>
      <c r="D58" t="s">
        <v>15</v>
      </c>
      <c r="E58" s="3">
        <v>25</v>
      </c>
      <c r="F58" t="s">
        <v>11</v>
      </c>
      <c r="H58" t="str">
        <f t="shared" si="3"/>
        <v>-</v>
      </c>
      <c r="J58" t="str">
        <f t="shared" si="2"/>
        <v>NORMAL</v>
      </c>
    </row>
    <row r="59" spans="2:10" x14ac:dyDescent="0.35">
      <c r="B59">
        <v>51</v>
      </c>
      <c r="C59" t="s">
        <v>14</v>
      </c>
      <c r="D59" t="s">
        <v>10</v>
      </c>
      <c r="E59" s="3">
        <v>400</v>
      </c>
      <c r="F59" t="s">
        <v>16</v>
      </c>
      <c r="H59" t="str">
        <f t="shared" si="3"/>
        <v>-</v>
      </c>
      <c r="J59" t="str">
        <f t="shared" si="2"/>
        <v>NORMAL</v>
      </c>
    </row>
    <row r="60" spans="2:10" x14ac:dyDescent="0.35">
      <c r="B60">
        <v>52</v>
      </c>
      <c r="C60" t="s">
        <v>9</v>
      </c>
      <c r="D60" t="s">
        <v>15</v>
      </c>
      <c r="E60" s="3">
        <v>25</v>
      </c>
      <c r="F60" t="s">
        <v>7</v>
      </c>
      <c r="H60" t="str">
        <f t="shared" si="3"/>
        <v>-</v>
      </c>
      <c r="J60" t="str">
        <f t="shared" si="2"/>
        <v>NORMAL</v>
      </c>
    </row>
    <row r="61" spans="2:10" x14ac:dyDescent="0.35">
      <c r="B61">
        <v>53</v>
      </c>
      <c r="C61" t="s">
        <v>14</v>
      </c>
      <c r="D61" t="s">
        <v>17</v>
      </c>
      <c r="E61" s="3">
        <v>600</v>
      </c>
      <c r="F61" t="s">
        <v>16</v>
      </c>
      <c r="H61" t="str">
        <f t="shared" si="3"/>
        <v>-</v>
      </c>
      <c r="J61" t="str">
        <f t="shared" si="2"/>
        <v>NORMAL</v>
      </c>
    </row>
    <row r="62" spans="2:10" x14ac:dyDescent="0.35">
      <c r="B62">
        <v>54</v>
      </c>
      <c r="C62" t="s">
        <v>14</v>
      </c>
      <c r="D62" t="s">
        <v>15</v>
      </c>
      <c r="E62" s="3">
        <v>25</v>
      </c>
      <c r="F62" t="s">
        <v>7</v>
      </c>
      <c r="H62" t="str">
        <f t="shared" si="3"/>
        <v>-</v>
      </c>
      <c r="J62" t="str">
        <f t="shared" si="2"/>
        <v>NORMAL</v>
      </c>
    </row>
    <row r="63" spans="2:10" x14ac:dyDescent="0.35">
      <c r="B63">
        <v>55</v>
      </c>
      <c r="C63" t="s">
        <v>12</v>
      </c>
      <c r="D63" t="s">
        <v>10</v>
      </c>
      <c r="E63" s="3">
        <v>400</v>
      </c>
      <c r="F63" t="s">
        <v>7</v>
      </c>
      <c r="H63" t="str">
        <f t="shared" si="3"/>
        <v>-</v>
      </c>
      <c r="J63" t="str">
        <f t="shared" si="2"/>
        <v>NORMAL</v>
      </c>
    </row>
    <row r="64" spans="2:10" x14ac:dyDescent="0.35">
      <c r="B64">
        <v>56</v>
      </c>
      <c r="C64" t="s">
        <v>9</v>
      </c>
      <c r="D64" t="s">
        <v>17</v>
      </c>
      <c r="E64" s="3">
        <v>600</v>
      </c>
      <c r="F64" t="s">
        <v>16</v>
      </c>
      <c r="H64" t="str">
        <f t="shared" si="3"/>
        <v>-</v>
      </c>
      <c r="J64" t="str">
        <f t="shared" si="2"/>
        <v>NORMAL</v>
      </c>
    </row>
    <row r="65" spans="2:10" x14ac:dyDescent="0.35">
      <c r="B65">
        <v>57</v>
      </c>
      <c r="C65" t="s">
        <v>18</v>
      </c>
      <c r="D65" t="s">
        <v>6</v>
      </c>
      <c r="E65" s="3">
        <v>250</v>
      </c>
      <c r="F65" t="s">
        <v>16</v>
      </c>
      <c r="H65" t="str">
        <f t="shared" si="3"/>
        <v>-</v>
      </c>
      <c r="J65" t="str">
        <f t="shared" si="2"/>
        <v>NORMAL</v>
      </c>
    </row>
    <row r="66" spans="2:10" x14ac:dyDescent="0.35">
      <c r="B66">
        <v>58</v>
      </c>
      <c r="C66" t="s">
        <v>14</v>
      </c>
      <c r="D66" t="s">
        <v>15</v>
      </c>
      <c r="E66" s="3">
        <v>25</v>
      </c>
      <c r="F66" t="s">
        <v>16</v>
      </c>
      <c r="H66" t="str">
        <f t="shared" si="3"/>
        <v>-</v>
      </c>
      <c r="J66" t="str">
        <f t="shared" si="2"/>
        <v>NORMAL</v>
      </c>
    </row>
    <row r="67" spans="2:10" x14ac:dyDescent="0.35">
      <c r="B67">
        <v>59</v>
      </c>
      <c r="C67" t="s">
        <v>9</v>
      </c>
      <c r="D67" t="s">
        <v>17</v>
      </c>
      <c r="E67" s="3">
        <v>600</v>
      </c>
      <c r="F67" t="s">
        <v>16</v>
      </c>
      <c r="H67" t="str">
        <f t="shared" si="3"/>
        <v>-</v>
      </c>
      <c r="J67" t="str">
        <f t="shared" si="2"/>
        <v>NORMAL</v>
      </c>
    </row>
    <row r="68" spans="2:10" x14ac:dyDescent="0.35">
      <c r="B68">
        <v>60</v>
      </c>
      <c r="C68" t="s">
        <v>14</v>
      </c>
      <c r="D68" t="s">
        <v>6</v>
      </c>
      <c r="E68" s="3">
        <v>250</v>
      </c>
      <c r="F68" t="s">
        <v>11</v>
      </c>
      <c r="H68" t="str">
        <f t="shared" si="3"/>
        <v>-</v>
      </c>
      <c r="J68" t="str">
        <f t="shared" si="2"/>
        <v>NORMAL</v>
      </c>
    </row>
    <row r="69" spans="2:10" x14ac:dyDescent="0.35">
      <c r="B69">
        <v>61</v>
      </c>
      <c r="C69" t="s">
        <v>9</v>
      </c>
      <c r="D69" t="s">
        <v>13</v>
      </c>
      <c r="E69" s="3">
        <v>130</v>
      </c>
      <c r="F69" t="s">
        <v>7</v>
      </c>
      <c r="H69" t="str">
        <f t="shared" si="3"/>
        <v>-</v>
      </c>
      <c r="J69" t="str">
        <f t="shared" si="2"/>
        <v>NORMAL</v>
      </c>
    </row>
    <row r="70" spans="2:10" x14ac:dyDescent="0.35">
      <c r="B70">
        <v>62</v>
      </c>
      <c r="C70" t="s">
        <v>9</v>
      </c>
      <c r="D70" t="s">
        <v>15</v>
      </c>
      <c r="E70" s="3">
        <v>25</v>
      </c>
      <c r="F70" t="s">
        <v>16</v>
      </c>
      <c r="H70" t="str">
        <f t="shared" si="3"/>
        <v>-</v>
      </c>
      <c r="J70" t="str">
        <f t="shared" si="2"/>
        <v>NORMAL</v>
      </c>
    </row>
    <row r="71" spans="2:10" x14ac:dyDescent="0.35">
      <c r="B71">
        <v>63</v>
      </c>
      <c r="C71" t="s">
        <v>14</v>
      </c>
      <c r="D71" t="s">
        <v>15</v>
      </c>
      <c r="E71" s="3">
        <v>25</v>
      </c>
      <c r="F71" t="s">
        <v>16</v>
      </c>
      <c r="H71" t="str">
        <f t="shared" si="3"/>
        <v>-</v>
      </c>
      <c r="J71" t="str">
        <f t="shared" si="2"/>
        <v>NORMAL</v>
      </c>
    </row>
    <row r="72" spans="2:10" x14ac:dyDescent="0.35">
      <c r="B72">
        <v>64</v>
      </c>
      <c r="C72" t="s">
        <v>18</v>
      </c>
      <c r="D72" t="s">
        <v>10</v>
      </c>
      <c r="E72" s="3">
        <v>400</v>
      </c>
      <c r="F72" t="s">
        <v>16</v>
      </c>
      <c r="H72" t="str">
        <f t="shared" si="3"/>
        <v>-</v>
      </c>
      <c r="J72" t="str">
        <f t="shared" si="2"/>
        <v>NORMAL</v>
      </c>
    </row>
    <row r="73" spans="2:10" x14ac:dyDescent="0.35">
      <c r="B73">
        <v>65</v>
      </c>
      <c r="C73" t="s">
        <v>5</v>
      </c>
      <c r="D73" t="s">
        <v>6</v>
      </c>
      <c r="E73" s="3">
        <v>250</v>
      </c>
      <c r="F73" t="s">
        <v>16</v>
      </c>
      <c r="H73" t="str">
        <f t="shared" si="3"/>
        <v>-</v>
      </c>
      <c r="J73" t="str">
        <f t="shared" si="2"/>
        <v>NORMAL</v>
      </c>
    </row>
    <row r="74" spans="2:10" x14ac:dyDescent="0.35">
      <c r="B74">
        <v>66</v>
      </c>
      <c r="C74" t="s">
        <v>18</v>
      </c>
      <c r="D74" t="s">
        <v>10</v>
      </c>
      <c r="E74" s="3">
        <v>400</v>
      </c>
      <c r="F74" t="s">
        <v>7</v>
      </c>
      <c r="H74" t="str">
        <f t="shared" si="3"/>
        <v>-</v>
      </c>
      <c r="J74" t="str">
        <f t="shared" si="2"/>
        <v>NORMAL</v>
      </c>
    </row>
    <row r="75" spans="2:10" x14ac:dyDescent="0.35">
      <c r="B75">
        <v>67</v>
      </c>
      <c r="C75" t="s">
        <v>14</v>
      </c>
      <c r="D75" t="s">
        <v>10</v>
      </c>
      <c r="E75" s="3">
        <v>400</v>
      </c>
      <c r="F75" t="s">
        <v>7</v>
      </c>
      <c r="H75" t="str">
        <f t="shared" ref="H75:H138" si="4">IF(B75-B74=1,"-","Aquí ---")</f>
        <v>-</v>
      </c>
      <c r="J75" t="str">
        <f t="shared" ref="J75:J138" si="5">IF(B76-B75=1,"NORMAL","FALTA")</f>
        <v>NORMAL</v>
      </c>
    </row>
    <row r="76" spans="2:10" x14ac:dyDescent="0.35">
      <c r="B76">
        <v>68</v>
      </c>
      <c r="C76" t="s">
        <v>5</v>
      </c>
      <c r="D76" t="s">
        <v>13</v>
      </c>
      <c r="E76" s="3">
        <v>130</v>
      </c>
      <c r="F76" t="s">
        <v>7</v>
      </c>
      <c r="H76" t="str">
        <f t="shared" si="4"/>
        <v>-</v>
      </c>
      <c r="J76" t="str">
        <f t="shared" si="5"/>
        <v>NORMAL</v>
      </c>
    </row>
    <row r="77" spans="2:10" x14ac:dyDescent="0.35">
      <c r="B77">
        <v>69</v>
      </c>
      <c r="C77" t="s">
        <v>5</v>
      </c>
      <c r="D77" t="s">
        <v>13</v>
      </c>
      <c r="E77" s="3">
        <v>130</v>
      </c>
      <c r="F77" t="s">
        <v>7</v>
      </c>
      <c r="H77" t="str">
        <f t="shared" si="4"/>
        <v>-</v>
      </c>
      <c r="J77" t="str">
        <f t="shared" si="5"/>
        <v>NORMAL</v>
      </c>
    </row>
    <row r="78" spans="2:10" x14ac:dyDescent="0.35">
      <c r="B78">
        <v>70</v>
      </c>
      <c r="C78" t="s">
        <v>9</v>
      </c>
      <c r="D78" t="s">
        <v>8</v>
      </c>
      <c r="E78" s="3">
        <v>350</v>
      </c>
      <c r="F78" t="s">
        <v>7</v>
      </c>
      <c r="H78" t="str">
        <f t="shared" si="4"/>
        <v>-</v>
      </c>
      <c r="J78" t="str">
        <f t="shared" si="5"/>
        <v>NORMAL</v>
      </c>
    </row>
    <row r="79" spans="2:10" x14ac:dyDescent="0.35">
      <c r="B79">
        <v>71</v>
      </c>
      <c r="C79" t="s">
        <v>9</v>
      </c>
      <c r="D79" t="s">
        <v>13</v>
      </c>
      <c r="E79" s="3">
        <v>130</v>
      </c>
      <c r="F79" t="s">
        <v>11</v>
      </c>
      <c r="H79" t="str">
        <f t="shared" si="4"/>
        <v>-</v>
      </c>
      <c r="J79" t="str">
        <f t="shared" si="5"/>
        <v>NORMAL</v>
      </c>
    </row>
    <row r="80" spans="2:10" x14ac:dyDescent="0.35">
      <c r="B80">
        <v>72</v>
      </c>
      <c r="C80" t="s">
        <v>18</v>
      </c>
      <c r="D80" t="s">
        <v>6</v>
      </c>
      <c r="E80" s="3">
        <v>250</v>
      </c>
      <c r="F80" t="s">
        <v>7</v>
      </c>
      <c r="H80" t="str">
        <f t="shared" si="4"/>
        <v>-</v>
      </c>
      <c r="J80" t="str">
        <f t="shared" si="5"/>
        <v>NORMAL</v>
      </c>
    </row>
    <row r="81" spans="2:10" x14ac:dyDescent="0.35">
      <c r="B81">
        <v>73</v>
      </c>
      <c r="C81" t="s">
        <v>12</v>
      </c>
      <c r="D81" t="s">
        <v>10</v>
      </c>
      <c r="E81" s="3">
        <v>400</v>
      </c>
      <c r="F81" t="s">
        <v>16</v>
      </c>
      <c r="H81" t="str">
        <f t="shared" si="4"/>
        <v>-</v>
      </c>
      <c r="J81" t="str">
        <f t="shared" si="5"/>
        <v>NORMAL</v>
      </c>
    </row>
    <row r="82" spans="2:10" x14ac:dyDescent="0.35">
      <c r="B82">
        <v>74</v>
      </c>
      <c r="C82" t="s">
        <v>12</v>
      </c>
      <c r="D82" t="s">
        <v>6</v>
      </c>
      <c r="E82" s="3">
        <v>250</v>
      </c>
      <c r="F82" t="s">
        <v>16</v>
      </c>
      <c r="H82" t="str">
        <f t="shared" si="4"/>
        <v>-</v>
      </c>
      <c r="J82" t="str">
        <f t="shared" si="5"/>
        <v>NORMAL</v>
      </c>
    </row>
    <row r="83" spans="2:10" x14ac:dyDescent="0.35">
      <c r="B83">
        <v>75</v>
      </c>
      <c r="C83" t="s">
        <v>9</v>
      </c>
      <c r="D83" t="s">
        <v>8</v>
      </c>
      <c r="E83" s="3">
        <v>350</v>
      </c>
      <c r="F83" t="s">
        <v>16</v>
      </c>
      <c r="H83" t="str">
        <f t="shared" si="4"/>
        <v>-</v>
      </c>
      <c r="J83" t="str">
        <f t="shared" si="5"/>
        <v>NORMAL</v>
      </c>
    </row>
    <row r="84" spans="2:10" x14ac:dyDescent="0.35">
      <c r="B84">
        <v>76</v>
      </c>
      <c r="C84" t="s">
        <v>18</v>
      </c>
      <c r="D84" t="s">
        <v>13</v>
      </c>
      <c r="E84" s="3">
        <v>130</v>
      </c>
      <c r="F84" t="s">
        <v>7</v>
      </c>
      <c r="H84" t="str">
        <f t="shared" si="4"/>
        <v>-</v>
      </c>
      <c r="J84" t="str">
        <f t="shared" si="5"/>
        <v>NORMAL</v>
      </c>
    </row>
    <row r="85" spans="2:10" x14ac:dyDescent="0.35">
      <c r="B85">
        <v>77</v>
      </c>
      <c r="C85" t="s">
        <v>5</v>
      </c>
      <c r="D85" t="s">
        <v>6</v>
      </c>
      <c r="E85" s="3">
        <v>250</v>
      </c>
      <c r="F85" t="s">
        <v>7</v>
      </c>
      <c r="H85" t="str">
        <f t="shared" si="4"/>
        <v>-</v>
      </c>
      <c r="J85" t="str">
        <f t="shared" si="5"/>
        <v>NORMAL</v>
      </c>
    </row>
    <row r="86" spans="2:10" x14ac:dyDescent="0.35">
      <c r="B86">
        <v>78</v>
      </c>
      <c r="C86" t="s">
        <v>18</v>
      </c>
      <c r="D86" t="s">
        <v>15</v>
      </c>
      <c r="E86" s="3">
        <v>25</v>
      </c>
      <c r="F86" t="s">
        <v>16</v>
      </c>
      <c r="H86" t="str">
        <f t="shared" si="4"/>
        <v>-</v>
      </c>
      <c r="J86" t="str">
        <f t="shared" si="5"/>
        <v>NORMAL</v>
      </c>
    </row>
    <row r="87" spans="2:10" x14ac:dyDescent="0.35">
      <c r="B87">
        <v>79</v>
      </c>
      <c r="C87" t="s">
        <v>12</v>
      </c>
      <c r="D87" t="s">
        <v>17</v>
      </c>
      <c r="E87" s="3">
        <v>600</v>
      </c>
      <c r="F87" t="s">
        <v>7</v>
      </c>
      <c r="H87" t="str">
        <f t="shared" si="4"/>
        <v>-</v>
      </c>
      <c r="J87" t="str">
        <f t="shared" si="5"/>
        <v>NORMAL</v>
      </c>
    </row>
    <row r="88" spans="2:10" x14ac:dyDescent="0.35">
      <c r="B88">
        <v>80</v>
      </c>
      <c r="C88" t="s">
        <v>18</v>
      </c>
      <c r="D88" t="s">
        <v>6</v>
      </c>
      <c r="E88" s="3">
        <v>250</v>
      </c>
      <c r="F88" t="s">
        <v>7</v>
      </c>
      <c r="H88" t="str">
        <f t="shared" si="4"/>
        <v>-</v>
      </c>
      <c r="J88" t="str">
        <f t="shared" si="5"/>
        <v>NORMAL</v>
      </c>
    </row>
    <row r="89" spans="2:10" x14ac:dyDescent="0.35">
      <c r="B89">
        <v>81</v>
      </c>
      <c r="C89" t="s">
        <v>12</v>
      </c>
      <c r="D89" t="s">
        <v>13</v>
      </c>
      <c r="E89" s="3">
        <v>130</v>
      </c>
      <c r="F89" t="s">
        <v>11</v>
      </c>
      <c r="H89" t="str">
        <f t="shared" si="4"/>
        <v>-</v>
      </c>
      <c r="J89" t="str">
        <f t="shared" si="5"/>
        <v>NORMAL</v>
      </c>
    </row>
    <row r="90" spans="2:10" x14ac:dyDescent="0.35">
      <c r="B90">
        <v>82</v>
      </c>
      <c r="C90" t="s">
        <v>5</v>
      </c>
      <c r="D90" t="s">
        <v>13</v>
      </c>
      <c r="E90" s="3">
        <v>130</v>
      </c>
      <c r="F90" t="s">
        <v>16</v>
      </c>
      <c r="H90" t="str">
        <f t="shared" si="4"/>
        <v>-</v>
      </c>
      <c r="J90" t="str">
        <f t="shared" si="5"/>
        <v>NORMAL</v>
      </c>
    </row>
    <row r="91" spans="2:10" x14ac:dyDescent="0.35">
      <c r="B91">
        <v>83</v>
      </c>
      <c r="C91" t="s">
        <v>5</v>
      </c>
      <c r="D91" t="s">
        <v>8</v>
      </c>
      <c r="E91" s="3">
        <v>350</v>
      </c>
      <c r="F91" t="s">
        <v>7</v>
      </c>
      <c r="H91" t="str">
        <f t="shared" si="4"/>
        <v>-</v>
      </c>
      <c r="J91" t="str">
        <f t="shared" si="5"/>
        <v>NORMAL</v>
      </c>
    </row>
    <row r="92" spans="2:10" x14ac:dyDescent="0.35">
      <c r="B92">
        <v>84</v>
      </c>
      <c r="C92" t="s">
        <v>14</v>
      </c>
      <c r="D92" t="s">
        <v>10</v>
      </c>
      <c r="E92" s="3">
        <v>400</v>
      </c>
      <c r="F92" t="s">
        <v>16</v>
      </c>
      <c r="H92" t="str">
        <f t="shared" si="4"/>
        <v>-</v>
      </c>
      <c r="J92" t="str">
        <f t="shared" si="5"/>
        <v>NORMAL</v>
      </c>
    </row>
    <row r="93" spans="2:10" x14ac:dyDescent="0.35">
      <c r="B93">
        <v>85</v>
      </c>
      <c r="C93" t="s">
        <v>14</v>
      </c>
      <c r="D93" t="s">
        <v>17</v>
      </c>
      <c r="E93" s="3">
        <v>600</v>
      </c>
      <c r="F93" t="s">
        <v>7</v>
      </c>
      <c r="H93" t="str">
        <f t="shared" si="4"/>
        <v>-</v>
      </c>
      <c r="J93" t="str">
        <f t="shared" si="5"/>
        <v>NORMAL</v>
      </c>
    </row>
    <row r="94" spans="2:10" x14ac:dyDescent="0.35">
      <c r="B94">
        <v>86</v>
      </c>
      <c r="C94" t="s">
        <v>5</v>
      </c>
      <c r="D94" t="s">
        <v>15</v>
      </c>
      <c r="E94" s="3">
        <v>25</v>
      </c>
      <c r="F94" t="s">
        <v>7</v>
      </c>
      <c r="H94" t="str">
        <f t="shared" si="4"/>
        <v>-</v>
      </c>
      <c r="J94" t="str">
        <f t="shared" si="5"/>
        <v>NORMAL</v>
      </c>
    </row>
    <row r="95" spans="2:10" x14ac:dyDescent="0.35">
      <c r="B95">
        <v>87</v>
      </c>
      <c r="C95" t="s">
        <v>5</v>
      </c>
      <c r="D95" t="s">
        <v>15</v>
      </c>
      <c r="E95" s="3">
        <v>25</v>
      </c>
      <c r="F95" t="s">
        <v>7</v>
      </c>
      <c r="H95" t="str">
        <f t="shared" si="4"/>
        <v>-</v>
      </c>
      <c r="J95" t="str">
        <f t="shared" si="5"/>
        <v>NORMAL</v>
      </c>
    </row>
    <row r="96" spans="2:10" x14ac:dyDescent="0.35">
      <c r="B96">
        <v>88</v>
      </c>
      <c r="C96" t="s">
        <v>14</v>
      </c>
      <c r="D96" t="s">
        <v>6</v>
      </c>
      <c r="E96" s="3">
        <v>250</v>
      </c>
      <c r="F96" t="s">
        <v>11</v>
      </c>
      <c r="H96" t="str">
        <f t="shared" si="4"/>
        <v>-</v>
      </c>
      <c r="J96" t="str">
        <f t="shared" si="5"/>
        <v>NORMAL</v>
      </c>
    </row>
    <row r="97" spans="2:10" x14ac:dyDescent="0.35">
      <c r="B97">
        <v>89</v>
      </c>
      <c r="C97" t="s">
        <v>5</v>
      </c>
      <c r="D97" t="s">
        <v>10</v>
      </c>
      <c r="E97" s="3">
        <v>400</v>
      </c>
      <c r="F97" t="s">
        <v>11</v>
      </c>
      <c r="H97" t="str">
        <f t="shared" si="4"/>
        <v>-</v>
      </c>
      <c r="J97" t="str">
        <f t="shared" si="5"/>
        <v>NORMAL</v>
      </c>
    </row>
    <row r="98" spans="2:10" x14ac:dyDescent="0.35">
      <c r="B98">
        <v>90</v>
      </c>
      <c r="C98" t="s">
        <v>14</v>
      </c>
      <c r="D98" t="s">
        <v>10</v>
      </c>
      <c r="E98" s="3">
        <v>400</v>
      </c>
      <c r="F98" t="s">
        <v>16</v>
      </c>
      <c r="H98" t="str">
        <f t="shared" si="4"/>
        <v>-</v>
      </c>
      <c r="J98" t="str">
        <f t="shared" si="5"/>
        <v>NORMAL</v>
      </c>
    </row>
    <row r="99" spans="2:10" x14ac:dyDescent="0.35">
      <c r="B99">
        <v>91</v>
      </c>
      <c r="C99" t="s">
        <v>14</v>
      </c>
      <c r="D99" t="s">
        <v>13</v>
      </c>
      <c r="E99" s="3">
        <v>130</v>
      </c>
      <c r="F99" t="s">
        <v>7</v>
      </c>
      <c r="H99" t="str">
        <f t="shared" si="4"/>
        <v>-</v>
      </c>
      <c r="J99" t="str">
        <f t="shared" si="5"/>
        <v>NORMAL</v>
      </c>
    </row>
    <row r="100" spans="2:10" x14ac:dyDescent="0.35">
      <c r="B100">
        <v>92</v>
      </c>
      <c r="C100" t="s">
        <v>9</v>
      </c>
      <c r="D100" t="s">
        <v>17</v>
      </c>
      <c r="E100" s="3">
        <v>600</v>
      </c>
      <c r="F100" t="s">
        <v>11</v>
      </c>
      <c r="H100" t="str">
        <f t="shared" si="4"/>
        <v>-</v>
      </c>
      <c r="J100" t="str">
        <f t="shared" si="5"/>
        <v>NORMAL</v>
      </c>
    </row>
    <row r="101" spans="2:10" x14ac:dyDescent="0.35">
      <c r="B101">
        <v>93</v>
      </c>
      <c r="C101" t="s">
        <v>14</v>
      </c>
      <c r="D101" t="s">
        <v>13</v>
      </c>
      <c r="E101" s="3">
        <v>130</v>
      </c>
      <c r="F101" t="s">
        <v>7</v>
      </c>
      <c r="H101" t="str">
        <f t="shared" si="4"/>
        <v>-</v>
      </c>
      <c r="J101" t="str">
        <f t="shared" si="5"/>
        <v>NORMAL</v>
      </c>
    </row>
    <row r="102" spans="2:10" x14ac:dyDescent="0.35">
      <c r="B102">
        <v>94</v>
      </c>
      <c r="C102" t="s">
        <v>5</v>
      </c>
      <c r="D102" t="s">
        <v>13</v>
      </c>
      <c r="E102" s="3">
        <v>130</v>
      </c>
      <c r="F102" t="s">
        <v>7</v>
      </c>
      <c r="H102" t="str">
        <f t="shared" si="4"/>
        <v>-</v>
      </c>
      <c r="J102" t="str">
        <f t="shared" si="5"/>
        <v>NORMAL</v>
      </c>
    </row>
    <row r="103" spans="2:10" x14ac:dyDescent="0.35">
      <c r="B103">
        <v>95</v>
      </c>
      <c r="C103" t="s">
        <v>9</v>
      </c>
      <c r="D103" t="s">
        <v>8</v>
      </c>
      <c r="E103" s="3">
        <v>350</v>
      </c>
      <c r="F103" t="s">
        <v>7</v>
      </c>
      <c r="H103" t="str">
        <f t="shared" si="4"/>
        <v>-</v>
      </c>
      <c r="J103" t="str">
        <f t="shared" si="5"/>
        <v>NORMAL</v>
      </c>
    </row>
    <row r="104" spans="2:10" x14ac:dyDescent="0.35">
      <c r="B104">
        <v>96</v>
      </c>
      <c r="C104" t="s">
        <v>18</v>
      </c>
      <c r="D104" t="s">
        <v>10</v>
      </c>
      <c r="E104" s="3">
        <v>400</v>
      </c>
      <c r="F104" t="s">
        <v>11</v>
      </c>
      <c r="H104" t="str">
        <f t="shared" si="4"/>
        <v>-</v>
      </c>
      <c r="J104" t="str">
        <f t="shared" si="5"/>
        <v>NORMAL</v>
      </c>
    </row>
    <row r="105" spans="2:10" x14ac:dyDescent="0.35">
      <c r="B105">
        <v>97</v>
      </c>
      <c r="C105" t="s">
        <v>9</v>
      </c>
      <c r="D105" t="s">
        <v>13</v>
      </c>
      <c r="E105" s="3">
        <v>130</v>
      </c>
      <c r="F105" t="s">
        <v>7</v>
      </c>
      <c r="H105" t="str">
        <f t="shared" si="4"/>
        <v>-</v>
      </c>
      <c r="J105" t="str">
        <f t="shared" si="5"/>
        <v>NORMAL</v>
      </c>
    </row>
    <row r="106" spans="2:10" x14ac:dyDescent="0.35">
      <c r="B106">
        <v>98</v>
      </c>
      <c r="C106" t="s">
        <v>18</v>
      </c>
      <c r="D106" t="s">
        <v>8</v>
      </c>
      <c r="E106" s="3">
        <v>350</v>
      </c>
      <c r="F106" t="s">
        <v>11</v>
      </c>
      <c r="H106" t="str">
        <f t="shared" si="4"/>
        <v>-</v>
      </c>
      <c r="J106" t="str">
        <f t="shared" si="5"/>
        <v>NORMAL</v>
      </c>
    </row>
    <row r="107" spans="2:10" x14ac:dyDescent="0.35">
      <c r="B107">
        <v>99</v>
      </c>
      <c r="C107" t="s">
        <v>9</v>
      </c>
      <c r="D107" t="s">
        <v>17</v>
      </c>
      <c r="E107" s="3">
        <v>600</v>
      </c>
      <c r="F107" t="s">
        <v>7</v>
      </c>
      <c r="H107" t="str">
        <f t="shared" si="4"/>
        <v>-</v>
      </c>
      <c r="J107" t="str">
        <f t="shared" si="5"/>
        <v>NORMAL</v>
      </c>
    </row>
    <row r="108" spans="2:10" x14ac:dyDescent="0.35">
      <c r="B108">
        <v>100</v>
      </c>
      <c r="C108" t="s">
        <v>5</v>
      </c>
      <c r="D108" t="s">
        <v>8</v>
      </c>
      <c r="E108" s="3">
        <v>350</v>
      </c>
      <c r="F108" t="s">
        <v>16</v>
      </c>
      <c r="H108" t="str">
        <f t="shared" si="4"/>
        <v>-</v>
      </c>
      <c r="J108" t="str">
        <f t="shared" si="5"/>
        <v>NORMAL</v>
      </c>
    </row>
    <row r="109" spans="2:10" x14ac:dyDescent="0.35">
      <c r="B109">
        <v>101</v>
      </c>
      <c r="C109" t="s">
        <v>12</v>
      </c>
      <c r="D109" t="s">
        <v>15</v>
      </c>
      <c r="E109" s="3">
        <v>25</v>
      </c>
      <c r="F109" t="s">
        <v>7</v>
      </c>
      <c r="H109" t="str">
        <f t="shared" si="4"/>
        <v>-</v>
      </c>
      <c r="J109" t="str">
        <f t="shared" si="5"/>
        <v>NORMAL</v>
      </c>
    </row>
    <row r="110" spans="2:10" x14ac:dyDescent="0.35">
      <c r="B110">
        <v>102</v>
      </c>
      <c r="C110" t="s">
        <v>12</v>
      </c>
      <c r="D110" t="s">
        <v>8</v>
      </c>
      <c r="E110" s="3">
        <v>350</v>
      </c>
      <c r="F110" t="s">
        <v>7</v>
      </c>
      <c r="H110" t="str">
        <f t="shared" si="4"/>
        <v>-</v>
      </c>
      <c r="J110" t="str">
        <f t="shared" si="5"/>
        <v>NORMAL</v>
      </c>
    </row>
    <row r="111" spans="2:10" x14ac:dyDescent="0.35">
      <c r="B111">
        <v>103</v>
      </c>
      <c r="C111" t="s">
        <v>14</v>
      </c>
      <c r="D111" t="s">
        <v>17</v>
      </c>
      <c r="E111" s="3">
        <v>600</v>
      </c>
      <c r="F111" t="s">
        <v>7</v>
      </c>
      <c r="H111" t="str">
        <f t="shared" si="4"/>
        <v>-</v>
      </c>
      <c r="J111" t="str">
        <f t="shared" si="5"/>
        <v>NORMAL</v>
      </c>
    </row>
    <row r="112" spans="2:10" x14ac:dyDescent="0.35">
      <c r="B112">
        <v>104</v>
      </c>
      <c r="C112" t="s">
        <v>14</v>
      </c>
      <c r="D112" t="s">
        <v>13</v>
      </c>
      <c r="E112" s="3">
        <v>130</v>
      </c>
      <c r="F112" t="s">
        <v>7</v>
      </c>
      <c r="H112" t="str">
        <f t="shared" si="4"/>
        <v>-</v>
      </c>
      <c r="J112" t="str">
        <f t="shared" si="5"/>
        <v>NORMAL</v>
      </c>
    </row>
    <row r="113" spans="2:10" x14ac:dyDescent="0.35">
      <c r="B113">
        <v>105</v>
      </c>
      <c r="C113" t="s">
        <v>14</v>
      </c>
      <c r="D113" t="s">
        <v>15</v>
      </c>
      <c r="E113" s="3">
        <v>25</v>
      </c>
      <c r="F113" t="s">
        <v>16</v>
      </c>
      <c r="H113" t="str">
        <f t="shared" si="4"/>
        <v>-</v>
      </c>
      <c r="J113" t="str">
        <f t="shared" si="5"/>
        <v>NORMAL</v>
      </c>
    </row>
    <row r="114" spans="2:10" x14ac:dyDescent="0.35">
      <c r="B114">
        <v>106</v>
      </c>
      <c r="C114" t="s">
        <v>12</v>
      </c>
      <c r="D114" t="s">
        <v>13</v>
      </c>
      <c r="E114" s="3">
        <v>130</v>
      </c>
      <c r="F114" t="s">
        <v>7</v>
      </c>
      <c r="H114" t="str">
        <f t="shared" si="4"/>
        <v>-</v>
      </c>
      <c r="J114" t="str">
        <f t="shared" si="5"/>
        <v>NORMAL</v>
      </c>
    </row>
    <row r="115" spans="2:10" x14ac:dyDescent="0.35">
      <c r="B115">
        <v>107</v>
      </c>
      <c r="C115" t="s">
        <v>14</v>
      </c>
      <c r="D115" t="s">
        <v>8</v>
      </c>
      <c r="E115" s="3">
        <v>350</v>
      </c>
      <c r="F115" t="s">
        <v>7</v>
      </c>
      <c r="H115" t="str">
        <f t="shared" si="4"/>
        <v>-</v>
      </c>
      <c r="J115" t="str">
        <f t="shared" si="5"/>
        <v>NORMAL</v>
      </c>
    </row>
    <row r="116" spans="2:10" x14ac:dyDescent="0.35">
      <c r="B116">
        <v>108</v>
      </c>
      <c r="C116" t="s">
        <v>12</v>
      </c>
      <c r="D116" t="s">
        <v>15</v>
      </c>
      <c r="E116" s="3">
        <v>25</v>
      </c>
      <c r="F116" t="s">
        <v>16</v>
      </c>
      <c r="H116" t="str">
        <f t="shared" si="4"/>
        <v>-</v>
      </c>
      <c r="J116" t="str">
        <f t="shared" si="5"/>
        <v>NORMAL</v>
      </c>
    </row>
    <row r="117" spans="2:10" x14ac:dyDescent="0.35">
      <c r="B117">
        <v>109</v>
      </c>
      <c r="C117" t="s">
        <v>12</v>
      </c>
      <c r="D117" t="s">
        <v>15</v>
      </c>
      <c r="E117" s="3">
        <v>25</v>
      </c>
      <c r="F117" t="s">
        <v>7</v>
      </c>
      <c r="H117" t="str">
        <f t="shared" si="4"/>
        <v>-</v>
      </c>
      <c r="J117" t="str">
        <f t="shared" si="5"/>
        <v>NORMAL</v>
      </c>
    </row>
    <row r="118" spans="2:10" x14ac:dyDescent="0.35">
      <c r="B118">
        <v>110</v>
      </c>
      <c r="C118" t="s">
        <v>9</v>
      </c>
      <c r="D118" t="s">
        <v>15</v>
      </c>
      <c r="E118" s="3">
        <v>25</v>
      </c>
      <c r="F118" t="s">
        <v>7</v>
      </c>
      <c r="H118" t="str">
        <f t="shared" si="4"/>
        <v>-</v>
      </c>
      <c r="J118" t="str">
        <f t="shared" si="5"/>
        <v>NORMAL</v>
      </c>
    </row>
    <row r="119" spans="2:10" x14ac:dyDescent="0.35">
      <c r="B119">
        <v>111</v>
      </c>
      <c r="C119" t="s">
        <v>5</v>
      </c>
      <c r="D119" t="s">
        <v>17</v>
      </c>
      <c r="E119" s="3">
        <v>600</v>
      </c>
      <c r="F119" t="s">
        <v>7</v>
      </c>
      <c r="H119" t="str">
        <f t="shared" si="4"/>
        <v>-</v>
      </c>
      <c r="J119" t="str">
        <f t="shared" si="5"/>
        <v>NORMAL</v>
      </c>
    </row>
    <row r="120" spans="2:10" x14ac:dyDescent="0.35">
      <c r="B120">
        <v>112</v>
      </c>
      <c r="C120" t="s">
        <v>5</v>
      </c>
      <c r="D120" t="s">
        <v>6</v>
      </c>
      <c r="E120" s="3">
        <v>250</v>
      </c>
      <c r="F120" t="s">
        <v>7</v>
      </c>
      <c r="H120" t="str">
        <f t="shared" si="4"/>
        <v>-</v>
      </c>
      <c r="J120" t="str">
        <f t="shared" si="5"/>
        <v>NORMAL</v>
      </c>
    </row>
    <row r="121" spans="2:10" x14ac:dyDescent="0.35">
      <c r="B121">
        <v>113</v>
      </c>
      <c r="C121" t="s">
        <v>5</v>
      </c>
      <c r="D121" t="s">
        <v>17</v>
      </c>
      <c r="E121" s="3">
        <v>600</v>
      </c>
      <c r="F121" t="s">
        <v>7</v>
      </c>
      <c r="H121" t="str">
        <f t="shared" si="4"/>
        <v>-</v>
      </c>
      <c r="J121" t="str">
        <f t="shared" si="5"/>
        <v>NORMAL</v>
      </c>
    </row>
    <row r="122" spans="2:10" x14ac:dyDescent="0.35">
      <c r="B122">
        <v>114</v>
      </c>
      <c r="C122" t="s">
        <v>9</v>
      </c>
      <c r="D122" t="s">
        <v>17</v>
      </c>
      <c r="E122" s="3">
        <v>600</v>
      </c>
      <c r="F122" t="s">
        <v>11</v>
      </c>
      <c r="H122" t="str">
        <f t="shared" si="4"/>
        <v>-</v>
      </c>
      <c r="J122" t="str">
        <f t="shared" si="5"/>
        <v>NORMAL</v>
      </c>
    </row>
    <row r="123" spans="2:10" x14ac:dyDescent="0.35">
      <c r="B123">
        <v>115</v>
      </c>
      <c r="C123" t="s">
        <v>18</v>
      </c>
      <c r="D123" t="s">
        <v>17</v>
      </c>
      <c r="E123" s="3">
        <v>600</v>
      </c>
      <c r="F123" t="s">
        <v>7</v>
      </c>
      <c r="H123" t="str">
        <f t="shared" si="4"/>
        <v>-</v>
      </c>
      <c r="J123" t="str">
        <f t="shared" si="5"/>
        <v>NORMAL</v>
      </c>
    </row>
    <row r="124" spans="2:10" x14ac:dyDescent="0.35">
      <c r="B124">
        <v>116</v>
      </c>
      <c r="C124" t="s">
        <v>12</v>
      </c>
      <c r="D124" t="s">
        <v>15</v>
      </c>
      <c r="E124" s="3">
        <v>25</v>
      </c>
      <c r="F124" t="s">
        <v>7</v>
      </c>
      <c r="H124" t="str">
        <f t="shared" si="4"/>
        <v>-</v>
      </c>
      <c r="J124" t="str">
        <f t="shared" si="5"/>
        <v>NORMAL</v>
      </c>
    </row>
    <row r="125" spans="2:10" x14ac:dyDescent="0.35">
      <c r="B125">
        <v>117</v>
      </c>
      <c r="C125" t="s">
        <v>12</v>
      </c>
      <c r="D125" t="s">
        <v>8</v>
      </c>
      <c r="E125" s="3">
        <v>350</v>
      </c>
      <c r="F125" t="s">
        <v>16</v>
      </c>
      <c r="H125" t="str">
        <f t="shared" si="4"/>
        <v>-</v>
      </c>
      <c r="J125" t="str">
        <f t="shared" si="5"/>
        <v>NORMAL</v>
      </c>
    </row>
    <row r="126" spans="2:10" x14ac:dyDescent="0.35">
      <c r="B126">
        <v>118</v>
      </c>
      <c r="C126" t="s">
        <v>14</v>
      </c>
      <c r="D126" t="s">
        <v>10</v>
      </c>
      <c r="E126" s="3">
        <v>400</v>
      </c>
      <c r="F126" t="s">
        <v>11</v>
      </c>
      <c r="H126" t="str">
        <f t="shared" si="4"/>
        <v>-</v>
      </c>
      <c r="J126" t="str">
        <f t="shared" si="5"/>
        <v>NORMAL</v>
      </c>
    </row>
    <row r="127" spans="2:10" x14ac:dyDescent="0.35">
      <c r="B127">
        <v>119</v>
      </c>
      <c r="C127" t="s">
        <v>18</v>
      </c>
      <c r="D127" t="s">
        <v>17</v>
      </c>
      <c r="E127" s="3">
        <v>600</v>
      </c>
      <c r="F127" t="s">
        <v>11</v>
      </c>
      <c r="H127" t="str">
        <f t="shared" si="4"/>
        <v>-</v>
      </c>
      <c r="J127" t="str">
        <f t="shared" si="5"/>
        <v>NORMAL</v>
      </c>
    </row>
    <row r="128" spans="2:10" x14ac:dyDescent="0.35">
      <c r="B128">
        <v>120</v>
      </c>
      <c r="C128" t="s">
        <v>12</v>
      </c>
      <c r="D128" t="s">
        <v>17</v>
      </c>
      <c r="E128" s="3">
        <v>600</v>
      </c>
      <c r="F128" t="s">
        <v>7</v>
      </c>
      <c r="H128" t="str">
        <f t="shared" si="4"/>
        <v>-</v>
      </c>
      <c r="J128" t="str">
        <f t="shared" si="5"/>
        <v>NORMAL</v>
      </c>
    </row>
    <row r="129" spans="2:10" x14ac:dyDescent="0.35">
      <c r="B129">
        <v>121</v>
      </c>
      <c r="C129" t="s">
        <v>9</v>
      </c>
      <c r="D129" t="s">
        <v>17</v>
      </c>
      <c r="E129" s="3">
        <v>600</v>
      </c>
      <c r="F129" t="s">
        <v>16</v>
      </c>
      <c r="H129" t="str">
        <f t="shared" si="4"/>
        <v>-</v>
      </c>
      <c r="J129" t="str">
        <f t="shared" si="5"/>
        <v>NORMAL</v>
      </c>
    </row>
    <row r="130" spans="2:10" x14ac:dyDescent="0.35">
      <c r="B130">
        <v>122</v>
      </c>
      <c r="C130" t="s">
        <v>5</v>
      </c>
      <c r="D130" t="s">
        <v>15</v>
      </c>
      <c r="E130" s="3">
        <v>25</v>
      </c>
      <c r="F130" t="s">
        <v>7</v>
      </c>
      <c r="H130" t="str">
        <f t="shared" si="4"/>
        <v>-</v>
      </c>
      <c r="J130" t="str">
        <f t="shared" si="5"/>
        <v>NORMAL</v>
      </c>
    </row>
    <row r="131" spans="2:10" x14ac:dyDescent="0.35">
      <c r="B131">
        <v>123</v>
      </c>
      <c r="C131" t="s">
        <v>18</v>
      </c>
      <c r="D131" t="s">
        <v>13</v>
      </c>
      <c r="E131" s="3">
        <v>130</v>
      </c>
      <c r="F131" t="s">
        <v>7</v>
      </c>
      <c r="H131" t="str">
        <f t="shared" si="4"/>
        <v>-</v>
      </c>
      <c r="J131" t="str">
        <f t="shared" si="5"/>
        <v>NORMAL</v>
      </c>
    </row>
    <row r="132" spans="2:10" x14ac:dyDescent="0.35">
      <c r="B132">
        <v>124</v>
      </c>
      <c r="C132" t="s">
        <v>12</v>
      </c>
      <c r="D132" t="s">
        <v>17</v>
      </c>
      <c r="E132" s="3">
        <v>600</v>
      </c>
      <c r="F132" t="s">
        <v>7</v>
      </c>
      <c r="H132" t="str">
        <f t="shared" si="4"/>
        <v>-</v>
      </c>
      <c r="J132" t="str">
        <f t="shared" si="5"/>
        <v>NORMAL</v>
      </c>
    </row>
    <row r="133" spans="2:10" x14ac:dyDescent="0.35">
      <c r="B133">
        <v>125</v>
      </c>
      <c r="C133" t="s">
        <v>12</v>
      </c>
      <c r="D133" t="s">
        <v>6</v>
      </c>
      <c r="E133" s="3">
        <v>250</v>
      </c>
      <c r="F133" t="s">
        <v>7</v>
      </c>
      <c r="H133" t="str">
        <f t="shared" si="4"/>
        <v>-</v>
      </c>
      <c r="J133" t="str">
        <f t="shared" si="5"/>
        <v>NORMAL</v>
      </c>
    </row>
    <row r="134" spans="2:10" x14ac:dyDescent="0.35">
      <c r="B134">
        <v>126</v>
      </c>
      <c r="C134" t="s">
        <v>14</v>
      </c>
      <c r="D134" t="s">
        <v>17</v>
      </c>
      <c r="E134" s="3">
        <v>600</v>
      </c>
      <c r="F134" t="s">
        <v>7</v>
      </c>
      <c r="H134" t="str">
        <f t="shared" si="4"/>
        <v>-</v>
      </c>
      <c r="J134" t="str">
        <f t="shared" si="5"/>
        <v>NORMAL</v>
      </c>
    </row>
    <row r="135" spans="2:10" x14ac:dyDescent="0.35">
      <c r="B135">
        <v>127</v>
      </c>
      <c r="C135" t="s">
        <v>5</v>
      </c>
      <c r="D135" t="s">
        <v>6</v>
      </c>
      <c r="E135" s="3">
        <v>250</v>
      </c>
      <c r="F135" t="s">
        <v>7</v>
      </c>
      <c r="H135" t="str">
        <f t="shared" si="4"/>
        <v>-</v>
      </c>
      <c r="J135" t="str">
        <f t="shared" si="5"/>
        <v>NORMAL</v>
      </c>
    </row>
    <row r="136" spans="2:10" x14ac:dyDescent="0.35">
      <c r="B136">
        <v>128</v>
      </c>
      <c r="C136" t="s">
        <v>14</v>
      </c>
      <c r="D136" t="s">
        <v>10</v>
      </c>
      <c r="E136" s="3">
        <v>400</v>
      </c>
      <c r="F136" t="s">
        <v>7</v>
      </c>
      <c r="H136" t="str">
        <f t="shared" si="4"/>
        <v>-</v>
      </c>
      <c r="J136" t="str">
        <f t="shared" si="5"/>
        <v>NORMAL</v>
      </c>
    </row>
    <row r="137" spans="2:10" x14ac:dyDescent="0.35">
      <c r="B137">
        <v>129</v>
      </c>
      <c r="C137" t="s">
        <v>18</v>
      </c>
      <c r="D137" t="s">
        <v>13</v>
      </c>
      <c r="E137" s="3">
        <v>130</v>
      </c>
      <c r="F137" t="s">
        <v>7</v>
      </c>
      <c r="H137" t="str">
        <f t="shared" si="4"/>
        <v>-</v>
      </c>
      <c r="J137" t="str">
        <f t="shared" si="5"/>
        <v>NORMAL</v>
      </c>
    </row>
    <row r="138" spans="2:10" x14ac:dyDescent="0.35">
      <c r="B138">
        <v>130</v>
      </c>
      <c r="C138" t="s">
        <v>9</v>
      </c>
      <c r="D138" t="s">
        <v>13</v>
      </c>
      <c r="E138" s="3">
        <v>130</v>
      </c>
      <c r="F138" t="s">
        <v>7</v>
      </c>
      <c r="H138" t="str">
        <f t="shared" si="4"/>
        <v>-</v>
      </c>
      <c r="J138" t="str">
        <f t="shared" si="5"/>
        <v>NORMAL</v>
      </c>
    </row>
    <row r="139" spans="2:10" x14ac:dyDescent="0.35">
      <c r="B139">
        <v>131</v>
      </c>
      <c r="C139" t="s">
        <v>9</v>
      </c>
      <c r="D139" t="s">
        <v>13</v>
      </c>
      <c r="E139" s="3">
        <v>130</v>
      </c>
      <c r="F139" t="s">
        <v>16</v>
      </c>
      <c r="H139" t="str">
        <f t="shared" ref="H139:H202" si="6">IF(B139-B138=1,"-","Aquí ---")</f>
        <v>-</v>
      </c>
      <c r="J139" t="str">
        <f t="shared" ref="J139:J202" si="7">IF(B140-B139=1,"NORMAL","FALTA")</f>
        <v>NORMAL</v>
      </c>
    </row>
    <row r="140" spans="2:10" x14ac:dyDescent="0.35">
      <c r="B140">
        <v>132</v>
      </c>
      <c r="C140" t="s">
        <v>9</v>
      </c>
      <c r="D140" t="s">
        <v>10</v>
      </c>
      <c r="E140" s="3">
        <v>400</v>
      </c>
      <c r="F140" t="s">
        <v>11</v>
      </c>
      <c r="H140" t="str">
        <f t="shared" si="6"/>
        <v>-</v>
      </c>
      <c r="J140" t="str">
        <f t="shared" si="7"/>
        <v>NORMAL</v>
      </c>
    </row>
    <row r="141" spans="2:10" x14ac:dyDescent="0.35">
      <c r="B141">
        <v>133</v>
      </c>
      <c r="C141" t="s">
        <v>14</v>
      </c>
      <c r="D141" t="s">
        <v>8</v>
      </c>
      <c r="E141" s="3">
        <v>350</v>
      </c>
      <c r="F141" t="s">
        <v>7</v>
      </c>
      <c r="H141" t="str">
        <f t="shared" si="6"/>
        <v>-</v>
      </c>
      <c r="J141" t="str">
        <f t="shared" si="7"/>
        <v>NORMAL</v>
      </c>
    </row>
    <row r="142" spans="2:10" x14ac:dyDescent="0.35">
      <c r="B142">
        <v>134</v>
      </c>
      <c r="C142" t="s">
        <v>14</v>
      </c>
      <c r="D142" t="s">
        <v>13</v>
      </c>
      <c r="E142" s="3">
        <v>130</v>
      </c>
      <c r="F142" t="s">
        <v>7</v>
      </c>
      <c r="H142" t="str">
        <f t="shared" si="6"/>
        <v>-</v>
      </c>
      <c r="J142" t="str">
        <f t="shared" si="7"/>
        <v>NORMAL</v>
      </c>
    </row>
    <row r="143" spans="2:10" x14ac:dyDescent="0.35">
      <c r="B143">
        <v>135</v>
      </c>
      <c r="C143" t="s">
        <v>18</v>
      </c>
      <c r="D143" t="s">
        <v>15</v>
      </c>
      <c r="E143" s="3">
        <v>25</v>
      </c>
      <c r="F143" t="s">
        <v>16</v>
      </c>
      <c r="H143" t="str">
        <f t="shared" si="6"/>
        <v>-</v>
      </c>
      <c r="J143" t="str">
        <f t="shared" si="7"/>
        <v>NORMAL</v>
      </c>
    </row>
    <row r="144" spans="2:10" x14ac:dyDescent="0.35">
      <c r="B144">
        <v>136</v>
      </c>
      <c r="C144" t="s">
        <v>5</v>
      </c>
      <c r="D144" t="s">
        <v>10</v>
      </c>
      <c r="E144" s="3">
        <v>400</v>
      </c>
      <c r="F144" t="s">
        <v>11</v>
      </c>
      <c r="H144" t="str">
        <f t="shared" si="6"/>
        <v>-</v>
      </c>
      <c r="J144" t="str">
        <f t="shared" si="7"/>
        <v>NORMAL</v>
      </c>
    </row>
    <row r="145" spans="2:10" x14ac:dyDescent="0.35">
      <c r="B145">
        <v>137</v>
      </c>
      <c r="C145" t="s">
        <v>5</v>
      </c>
      <c r="D145" t="s">
        <v>15</v>
      </c>
      <c r="E145" s="3">
        <v>25</v>
      </c>
      <c r="F145" t="s">
        <v>16</v>
      </c>
      <c r="H145" t="str">
        <f t="shared" si="6"/>
        <v>-</v>
      </c>
      <c r="J145" t="str">
        <f t="shared" si="7"/>
        <v>NORMAL</v>
      </c>
    </row>
    <row r="146" spans="2:10" x14ac:dyDescent="0.35">
      <c r="B146">
        <v>138</v>
      </c>
      <c r="C146" t="s">
        <v>14</v>
      </c>
      <c r="D146" t="s">
        <v>10</v>
      </c>
      <c r="E146" s="3">
        <v>400</v>
      </c>
      <c r="F146" t="s">
        <v>7</v>
      </c>
      <c r="H146" t="str">
        <f t="shared" si="6"/>
        <v>-</v>
      </c>
      <c r="J146" t="str">
        <f t="shared" si="7"/>
        <v>NORMAL</v>
      </c>
    </row>
    <row r="147" spans="2:10" x14ac:dyDescent="0.35">
      <c r="B147">
        <v>139</v>
      </c>
      <c r="C147" t="s">
        <v>9</v>
      </c>
      <c r="D147" t="s">
        <v>17</v>
      </c>
      <c r="E147" s="3">
        <v>600</v>
      </c>
      <c r="F147" t="s">
        <v>16</v>
      </c>
      <c r="H147" t="str">
        <f t="shared" si="6"/>
        <v>-</v>
      </c>
      <c r="J147" t="str">
        <f t="shared" si="7"/>
        <v>NORMAL</v>
      </c>
    </row>
    <row r="148" spans="2:10" x14ac:dyDescent="0.35">
      <c r="B148">
        <v>140</v>
      </c>
      <c r="C148" t="s">
        <v>18</v>
      </c>
      <c r="D148" t="s">
        <v>17</v>
      </c>
      <c r="E148" s="3">
        <v>600</v>
      </c>
      <c r="F148" t="s">
        <v>7</v>
      </c>
      <c r="H148" t="str">
        <f t="shared" si="6"/>
        <v>-</v>
      </c>
      <c r="J148" t="str">
        <f t="shared" si="7"/>
        <v>NORMAL</v>
      </c>
    </row>
    <row r="149" spans="2:10" x14ac:dyDescent="0.35">
      <c r="B149">
        <v>141</v>
      </c>
      <c r="C149" t="s">
        <v>9</v>
      </c>
      <c r="D149" t="s">
        <v>13</v>
      </c>
      <c r="E149" s="3">
        <v>130</v>
      </c>
      <c r="F149" t="s">
        <v>7</v>
      </c>
      <c r="H149" t="str">
        <f t="shared" si="6"/>
        <v>-</v>
      </c>
      <c r="J149" t="str">
        <f t="shared" si="7"/>
        <v>NORMAL</v>
      </c>
    </row>
    <row r="150" spans="2:10" x14ac:dyDescent="0.35">
      <c r="B150">
        <v>142</v>
      </c>
      <c r="C150" t="s">
        <v>5</v>
      </c>
      <c r="D150" t="s">
        <v>15</v>
      </c>
      <c r="E150" s="3">
        <v>25</v>
      </c>
      <c r="F150" t="s">
        <v>16</v>
      </c>
      <c r="H150" t="str">
        <f t="shared" si="6"/>
        <v>-</v>
      </c>
      <c r="J150" t="str">
        <f t="shared" si="7"/>
        <v>NORMAL</v>
      </c>
    </row>
    <row r="151" spans="2:10" x14ac:dyDescent="0.35">
      <c r="B151">
        <v>143</v>
      </c>
      <c r="C151" t="s">
        <v>18</v>
      </c>
      <c r="D151" t="s">
        <v>8</v>
      </c>
      <c r="E151" s="3">
        <v>350</v>
      </c>
      <c r="F151" t="s">
        <v>7</v>
      </c>
      <c r="H151" t="str">
        <f t="shared" si="6"/>
        <v>-</v>
      </c>
      <c r="J151" t="str">
        <f t="shared" si="7"/>
        <v>NORMAL</v>
      </c>
    </row>
    <row r="152" spans="2:10" x14ac:dyDescent="0.35">
      <c r="B152">
        <v>144</v>
      </c>
      <c r="C152" t="s">
        <v>9</v>
      </c>
      <c r="D152" t="s">
        <v>10</v>
      </c>
      <c r="E152" s="3">
        <v>400</v>
      </c>
      <c r="F152" t="s">
        <v>11</v>
      </c>
      <c r="H152" t="str">
        <f t="shared" si="6"/>
        <v>-</v>
      </c>
      <c r="J152" t="str">
        <f t="shared" si="7"/>
        <v>NORMAL</v>
      </c>
    </row>
    <row r="153" spans="2:10" x14ac:dyDescent="0.35">
      <c r="B153">
        <v>145</v>
      </c>
      <c r="C153" t="s">
        <v>18</v>
      </c>
      <c r="D153" t="s">
        <v>15</v>
      </c>
      <c r="E153" s="3">
        <v>25</v>
      </c>
      <c r="F153" t="s">
        <v>16</v>
      </c>
      <c r="H153" t="str">
        <f t="shared" si="6"/>
        <v>-</v>
      </c>
      <c r="J153" t="str">
        <f t="shared" si="7"/>
        <v>NORMAL</v>
      </c>
    </row>
    <row r="154" spans="2:10" x14ac:dyDescent="0.35">
      <c r="B154">
        <v>146</v>
      </c>
      <c r="C154" t="s">
        <v>14</v>
      </c>
      <c r="D154" t="s">
        <v>17</v>
      </c>
      <c r="E154" s="3">
        <v>600</v>
      </c>
      <c r="F154" t="s">
        <v>11</v>
      </c>
      <c r="H154" t="str">
        <f t="shared" si="6"/>
        <v>-</v>
      </c>
      <c r="J154" t="str">
        <f t="shared" si="7"/>
        <v>NORMAL</v>
      </c>
    </row>
    <row r="155" spans="2:10" x14ac:dyDescent="0.35">
      <c r="B155">
        <v>147</v>
      </c>
      <c r="C155" t="s">
        <v>18</v>
      </c>
      <c r="D155" t="s">
        <v>8</v>
      </c>
      <c r="E155" s="3">
        <v>350</v>
      </c>
      <c r="F155" t="s">
        <v>16</v>
      </c>
      <c r="H155" t="str">
        <f t="shared" si="6"/>
        <v>-</v>
      </c>
      <c r="J155" t="str">
        <f t="shared" si="7"/>
        <v>NORMAL</v>
      </c>
    </row>
    <row r="156" spans="2:10" x14ac:dyDescent="0.35">
      <c r="B156">
        <v>148</v>
      </c>
      <c r="C156" t="s">
        <v>14</v>
      </c>
      <c r="D156" t="s">
        <v>15</v>
      </c>
      <c r="E156" s="3">
        <v>25</v>
      </c>
      <c r="F156" t="s">
        <v>11</v>
      </c>
      <c r="H156" t="str">
        <f t="shared" si="6"/>
        <v>-</v>
      </c>
      <c r="J156" t="str">
        <f t="shared" si="7"/>
        <v>NORMAL</v>
      </c>
    </row>
    <row r="157" spans="2:10" x14ac:dyDescent="0.35">
      <c r="B157">
        <v>149</v>
      </c>
      <c r="C157" t="s">
        <v>12</v>
      </c>
      <c r="D157" t="s">
        <v>17</v>
      </c>
      <c r="E157" s="3">
        <v>600</v>
      </c>
      <c r="F157" t="s">
        <v>11</v>
      </c>
      <c r="H157" t="str">
        <f t="shared" si="6"/>
        <v>-</v>
      </c>
      <c r="J157" t="str">
        <f t="shared" si="7"/>
        <v>NORMAL</v>
      </c>
    </row>
    <row r="158" spans="2:10" x14ac:dyDescent="0.35">
      <c r="B158">
        <v>150</v>
      </c>
      <c r="C158" t="s">
        <v>18</v>
      </c>
      <c r="D158" t="s">
        <v>6</v>
      </c>
      <c r="E158" s="3">
        <v>250</v>
      </c>
      <c r="F158" t="s">
        <v>7</v>
      </c>
      <c r="H158" t="str">
        <f t="shared" si="6"/>
        <v>-</v>
      </c>
      <c r="J158" t="str">
        <f t="shared" si="7"/>
        <v>NORMAL</v>
      </c>
    </row>
    <row r="159" spans="2:10" x14ac:dyDescent="0.35">
      <c r="B159">
        <v>151</v>
      </c>
      <c r="C159" t="s">
        <v>18</v>
      </c>
      <c r="D159" t="s">
        <v>10</v>
      </c>
      <c r="E159" s="3">
        <v>400</v>
      </c>
      <c r="F159" t="s">
        <v>16</v>
      </c>
      <c r="H159" t="str">
        <f t="shared" si="6"/>
        <v>-</v>
      </c>
      <c r="J159" t="str">
        <f t="shared" si="7"/>
        <v>NORMAL</v>
      </c>
    </row>
    <row r="160" spans="2:10" x14ac:dyDescent="0.35">
      <c r="B160">
        <v>152</v>
      </c>
      <c r="C160" t="s">
        <v>12</v>
      </c>
      <c r="D160" t="s">
        <v>13</v>
      </c>
      <c r="E160" s="3">
        <v>130</v>
      </c>
      <c r="F160" t="s">
        <v>11</v>
      </c>
      <c r="H160" t="str">
        <f t="shared" si="6"/>
        <v>-</v>
      </c>
      <c r="J160" t="str">
        <f t="shared" si="7"/>
        <v>NORMAL</v>
      </c>
    </row>
    <row r="161" spans="2:10" x14ac:dyDescent="0.35">
      <c r="B161">
        <v>153</v>
      </c>
      <c r="C161" t="s">
        <v>9</v>
      </c>
      <c r="D161" t="s">
        <v>17</v>
      </c>
      <c r="E161" s="3">
        <v>600</v>
      </c>
      <c r="F161" t="s">
        <v>7</v>
      </c>
      <c r="H161" t="str">
        <f t="shared" si="6"/>
        <v>-</v>
      </c>
      <c r="J161" t="str">
        <f t="shared" si="7"/>
        <v>NORMAL</v>
      </c>
    </row>
    <row r="162" spans="2:10" x14ac:dyDescent="0.35">
      <c r="B162">
        <v>154</v>
      </c>
      <c r="C162" t="s">
        <v>14</v>
      </c>
      <c r="D162" t="s">
        <v>13</v>
      </c>
      <c r="E162" s="3">
        <v>130</v>
      </c>
      <c r="F162" t="s">
        <v>7</v>
      </c>
      <c r="H162" t="str">
        <f t="shared" si="6"/>
        <v>-</v>
      </c>
      <c r="J162" t="str">
        <f t="shared" si="7"/>
        <v>NORMAL</v>
      </c>
    </row>
    <row r="163" spans="2:10" x14ac:dyDescent="0.35">
      <c r="B163">
        <v>155</v>
      </c>
      <c r="C163" t="s">
        <v>12</v>
      </c>
      <c r="D163" t="s">
        <v>6</v>
      </c>
      <c r="E163" s="3">
        <v>250</v>
      </c>
      <c r="F163" t="s">
        <v>16</v>
      </c>
      <c r="H163" t="str">
        <f t="shared" si="6"/>
        <v>-</v>
      </c>
      <c r="J163" t="str">
        <f t="shared" si="7"/>
        <v>NORMAL</v>
      </c>
    </row>
    <row r="164" spans="2:10" x14ac:dyDescent="0.35">
      <c r="B164">
        <v>156</v>
      </c>
      <c r="C164" t="s">
        <v>14</v>
      </c>
      <c r="D164" t="s">
        <v>15</v>
      </c>
      <c r="E164" s="3">
        <v>25</v>
      </c>
      <c r="F164" t="s">
        <v>16</v>
      </c>
      <c r="H164" t="str">
        <f t="shared" si="6"/>
        <v>-</v>
      </c>
      <c r="J164" t="str">
        <f t="shared" si="7"/>
        <v>NORMAL</v>
      </c>
    </row>
    <row r="165" spans="2:10" x14ac:dyDescent="0.35">
      <c r="B165">
        <v>157</v>
      </c>
      <c r="C165" t="s">
        <v>14</v>
      </c>
      <c r="D165" t="s">
        <v>10</v>
      </c>
      <c r="E165" s="3">
        <v>400</v>
      </c>
      <c r="F165" t="s">
        <v>7</v>
      </c>
      <c r="H165" t="str">
        <f t="shared" si="6"/>
        <v>-</v>
      </c>
      <c r="J165" t="str">
        <f t="shared" si="7"/>
        <v>NORMAL</v>
      </c>
    </row>
    <row r="166" spans="2:10" x14ac:dyDescent="0.35">
      <c r="B166">
        <v>158</v>
      </c>
      <c r="C166" t="s">
        <v>14</v>
      </c>
      <c r="D166" t="s">
        <v>15</v>
      </c>
      <c r="E166" s="3">
        <v>25</v>
      </c>
      <c r="F166" t="s">
        <v>16</v>
      </c>
      <c r="H166" t="str">
        <f t="shared" si="6"/>
        <v>-</v>
      </c>
      <c r="J166" t="str">
        <f t="shared" si="7"/>
        <v>NORMAL</v>
      </c>
    </row>
    <row r="167" spans="2:10" x14ac:dyDescent="0.35">
      <c r="B167">
        <v>159</v>
      </c>
      <c r="C167" t="s">
        <v>9</v>
      </c>
      <c r="D167" t="s">
        <v>17</v>
      </c>
      <c r="E167" s="3">
        <v>600</v>
      </c>
      <c r="F167" t="s">
        <v>16</v>
      </c>
      <c r="H167" t="str">
        <f t="shared" si="6"/>
        <v>-</v>
      </c>
      <c r="J167" t="str">
        <f t="shared" si="7"/>
        <v>NORMAL</v>
      </c>
    </row>
    <row r="168" spans="2:10" x14ac:dyDescent="0.35">
      <c r="B168">
        <v>160</v>
      </c>
      <c r="C168" t="s">
        <v>5</v>
      </c>
      <c r="D168" t="s">
        <v>8</v>
      </c>
      <c r="E168" s="3">
        <v>350</v>
      </c>
      <c r="F168" t="s">
        <v>7</v>
      </c>
      <c r="H168" t="str">
        <f t="shared" si="6"/>
        <v>-</v>
      </c>
      <c r="J168" t="str">
        <f t="shared" si="7"/>
        <v>NORMAL</v>
      </c>
    </row>
    <row r="169" spans="2:10" x14ac:dyDescent="0.35">
      <c r="B169">
        <v>161</v>
      </c>
      <c r="C169" t="s">
        <v>12</v>
      </c>
      <c r="D169" t="s">
        <v>15</v>
      </c>
      <c r="E169" s="3">
        <v>25</v>
      </c>
      <c r="F169" t="s">
        <v>7</v>
      </c>
      <c r="H169" t="str">
        <f t="shared" si="6"/>
        <v>-</v>
      </c>
      <c r="J169" t="str">
        <f t="shared" si="7"/>
        <v>NORMAL</v>
      </c>
    </row>
    <row r="170" spans="2:10" x14ac:dyDescent="0.35">
      <c r="B170">
        <v>162</v>
      </c>
      <c r="C170" t="s">
        <v>5</v>
      </c>
      <c r="D170" t="s">
        <v>10</v>
      </c>
      <c r="E170" s="3">
        <v>400</v>
      </c>
      <c r="F170" t="s">
        <v>7</v>
      </c>
      <c r="H170" t="str">
        <f t="shared" si="6"/>
        <v>-</v>
      </c>
      <c r="J170" t="str">
        <f t="shared" si="7"/>
        <v>NORMAL</v>
      </c>
    </row>
    <row r="171" spans="2:10" x14ac:dyDescent="0.35">
      <c r="B171">
        <v>163</v>
      </c>
      <c r="C171" t="s">
        <v>18</v>
      </c>
      <c r="D171" t="s">
        <v>17</v>
      </c>
      <c r="E171" s="3">
        <v>600</v>
      </c>
      <c r="F171" t="s">
        <v>7</v>
      </c>
      <c r="H171" t="str">
        <f t="shared" si="6"/>
        <v>-</v>
      </c>
      <c r="J171" t="str">
        <f t="shared" si="7"/>
        <v>NORMAL</v>
      </c>
    </row>
    <row r="172" spans="2:10" x14ac:dyDescent="0.35">
      <c r="B172">
        <v>164</v>
      </c>
      <c r="C172" t="s">
        <v>12</v>
      </c>
      <c r="D172" t="s">
        <v>17</v>
      </c>
      <c r="E172" s="3">
        <v>600</v>
      </c>
      <c r="F172" t="s">
        <v>11</v>
      </c>
      <c r="H172" t="str">
        <f t="shared" si="6"/>
        <v>-</v>
      </c>
      <c r="J172" t="str">
        <f t="shared" si="7"/>
        <v>NORMAL</v>
      </c>
    </row>
    <row r="173" spans="2:10" x14ac:dyDescent="0.35">
      <c r="B173">
        <v>165</v>
      </c>
      <c r="C173" t="s">
        <v>5</v>
      </c>
      <c r="D173" t="s">
        <v>15</v>
      </c>
      <c r="E173" s="3">
        <v>25</v>
      </c>
      <c r="F173" t="s">
        <v>16</v>
      </c>
      <c r="H173" t="str">
        <f t="shared" si="6"/>
        <v>-</v>
      </c>
      <c r="J173" t="str">
        <f t="shared" si="7"/>
        <v>NORMAL</v>
      </c>
    </row>
    <row r="174" spans="2:10" x14ac:dyDescent="0.35">
      <c r="B174">
        <v>166</v>
      </c>
      <c r="C174" t="s">
        <v>5</v>
      </c>
      <c r="D174" t="s">
        <v>10</v>
      </c>
      <c r="E174" s="3">
        <v>400</v>
      </c>
      <c r="F174" t="s">
        <v>7</v>
      </c>
      <c r="H174" t="str">
        <f t="shared" si="6"/>
        <v>-</v>
      </c>
      <c r="J174" t="str">
        <f t="shared" si="7"/>
        <v>NORMAL</v>
      </c>
    </row>
    <row r="175" spans="2:10" x14ac:dyDescent="0.35">
      <c r="B175">
        <v>167</v>
      </c>
      <c r="C175" t="s">
        <v>18</v>
      </c>
      <c r="D175" t="s">
        <v>13</v>
      </c>
      <c r="E175" s="3">
        <v>130</v>
      </c>
      <c r="F175" t="s">
        <v>7</v>
      </c>
      <c r="H175" t="str">
        <f t="shared" si="6"/>
        <v>-</v>
      </c>
      <c r="J175" t="str">
        <f t="shared" si="7"/>
        <v>NORMAL</v>
      </c>
    </row>
    <row r="176" spans="2:10" x14ac:dyDescent="0.35">
      <c r="B176">
        <v>168</v>
      </c>
      <c r="C176" t="s">
        <v>12</v>
      </c>
      <c r="D176" t="s">
        <v>15</v>
      </c>
      <c r="E176" s="3">
        <v>25</v>
      </c>
      <c r="F176" t="s">
        <v>11</v>
      </c>
      <c r="H176" t="str">
        <f t="shared" si="6"/>
        <v>-</v>
      </c>
      <c r="J176" t="str">
        <f t="shared" si="7"/>
        <v>NORMAL</v>
      </c>
    </row>
    <row r="177" spans="2:10" x14ac:dyDescent="0.35">
      <c r="B177">
        <v>169</v>
      </c>
      <c r="C177" t="s">
        <v>9</v>
      </c>
      <c r="D177" t="s">
        <v>17</v>
      </c>
      <c r="E177" s="3">
        <v>600</v>
      </c>
      <c r="F177" t="s">
        <v>11</v>
      </c>
      <c r="H177" t="str">
        <f t="shared" si="6"/>
        <v>-</v>
      </c>
      <c r="J177" t="str">
        <f t="shared" si="7"/>
        <v>NORMAL</v>
      </c>
    </row>
    <row r="178" spans="2:10" x14ac:dyDescent="0.35">
      <c r="B178">
        <v>170</v>
      </c>
      <c r="C178" t="s">
        <v>12</v>
      </c>
      <c r="D178" t="s">
        <v>10</v>
      </c>
      <c r="E178" s="3">
        <v>400</v>
      </c>
      <c r="F178" t="s">
        <v>7</v>
      </c>
      <c r="H178" t="str">
        <f t="shared" si="6"/>
        <v>-</v>
      </c>
      <c r="J178" t="str">
        <f t="shared" si="7"/>
        <v>NORMAL</v>
      </c>
    </row>
    <row r="179" spans="2:10" x14ac:dyDescent="0.35">
      <c r="B179">
        <v>171</v>
      </c>
      <c r="C179" t="s">
        <v>14</v>
      </c>
      <c r="D179" t="s">
        <v>8</v>
      </c>
      <c r="E179" s="3">
        <v>350</v>
      </c>
      <c r="F179" t="s">
        <v>7</v>
      </c>
      <c r="H179" t="str">
        <f t="shared" si="6"/>
        <v>-</v>
      </c>
      <c r="J179" t="str">
        <f t="shared" si="7"/>
        <v>NORMAL</v>
      </c>
    </row>
    <row r="180" spans="2:10" x14ac:dyDescent="0.35">
      <c r="B180">
        <v>172</v>
      </c>
      <c r="C180" t="s">
        <v>18</v>
      </c>
      <c r="D180" t="s">
        <v>17</v>
      </c>
      <c r="E180" s="3">
        <v>600</v>
      </c>
      <c r="F180" t="s">
        <v>7</v>
      </c>
      <c r="H180" t="str">
        <f t="shared" si="6"/>
        <v>-</v>
      </c>
      <c r="J180" t="str">
        <f t="shared" si="7"/>
        <v>NORMAL</v>
      </c>
    </row>
    <row r="181" spans="2:10" x14ac:dyDescent="0.35">
      <c r="B181">
        <v>173</v>
      </c>
      <c r="C181" t="s">
        <v>12</v>
      </c>
      <c r="D181" t="s">
        <v>10</v>
      </c>
      <c r="E181" s="3">
        <v>400</v>
      </c>
      <c r="F181" t="s">
        <v>11</v>
      </c>
      <c r="H181" t="str">
        <f t="shared" si="6"/>
        <v>-</v>
      </c>
      <c r="J181" t="str">
        <f t="shared" si="7"/>
        <v>NORMAL</v>
      </c>
    </row>
    <row r="182" spans="2:10" x14ac:dyDescent="0.35">
      <c r="B182">
        <v>174</v>
      </c>
      <c r="C182" t="s">
        <v>12</v>
      </c>
      <c r="D182" t="s">
        <v>8</v>
      </c>
      <c r="E182" s="3">
        <v>350</v>
      </c>
      <c r="F182" t="s">
        <v>11</v>
      </c>
      <c r="H182" t="str">
        <f t="shared" si="6"/>
        <v>-</v>
      </c>
      <c r="J182" t="str">
        <f t="shared" si="7"/>
        <v>NORMAL</v>
      </c>
    </row>
    <row r="183" spans="2:10" x14ac:dyDescent="0.35">
      <c r="B183">
        <v>175</v>
      </c>
      <c r="C183" t="s">
        <v>9</v>
      </c>
      <c r="D183" t="s">
        <v>10</v>
      </c>
      <c r="E183" s="3">
        <v>400</v>
      </c>
      <c r="F183" t="s">
        <v>7</v>
      </c>
      <c r="H183" t="str">
        <f t="shared" si="6"/>
        <v>-</v>
      </c>
      <c r="J183" t="str">
        <f t="shared" si="7"/>
        <v>NORMAL</v>
      </c>
    </row>
    <row r="184" spans="2:10" x14ac:dyDescent="0.35">
      <c r="B184">
        <v>176</v>
      </c>
      <c r="C184" t="s">
        <v>14</v>
      </c>
      <c r="D184" t="s">
        <v>8</v>
      </c>
      <c r="E184" s="3">
        <v>350</v>
      </c>
      <c r="F184" t="s">
        <v>7</v>
      </c>
      <c r="H184" t="str">
        <f t="shared" si="6"/>
        <v>-</v>
      </c>
      <c r="J184" t="str">
        <f t="shared" si="7"/>
        <v>NORMAL</v>
      </c>
    </row>
    <row r="185" spans="2:10" x14ac:dyDescent="0.35">
      <c r="B185">
        <v>177</v>
      </c>
      <c r="C185" t="s">
        <v>9</v>
      </c>
      <c r="D185" t="s">
        <v>17</v>
      </c>
      <c r="E185" s="3">
        <v>600</v>
      </c>
      <c r="F185" t="s">
        <v>16</v>
      </c>
      <c r="H185" t="str">
        <f t="shared" si="6"/>
        <v>-</v>
      </c>
      <c r="J185" t="str">
        <f t="shared" si="7"/>
        <v>NORMAL</v>
      </c>
    </row>
    <row r="186" spans="2:10" x14ac:dyDescent="0.35">
      <c r="B186">
        <v>178</v>
      </c>
      <c r="C186" t="s">
        <v>9</v>
      </c>
      <c r="D186" t="s">
        <v>17</v>
      </c>
      <c r="E186" s="3">
        <v>600</v>
      </c>
      <c r="F186" t="s">
        <v>7</v>
      </c>
      <c r="H186" t="str">
        <f t="shared" si="6"/>
        <v>-</v>
      </c>
      <c r="J186" t="str">
        <f t="shared" si="7"/>
        <v>NORMAL</v>
      </c>
    </row>
    <row r="187" spans="2:10" x14ac:dyDescent="0.35">
      <c r="B187">
        <v>179</v>
      </c>
      <c r="C187" t="s">
        <v>12</v>
      </c>
      <c r="D187" t="s">
        <v>8</v>
      </c>
      <c r="E187" s="3">
        <v>350</v>
      </c>
      <c r="F187" t="s">
        <v>7</v>
      </c>
      <c r="H187" t="str">
        <f t="shared" si="6"/>
        <v>-</v>
      </c>
      <c r="J187" t="str">
        <f t="shared" si="7"/>
        <v>NORMAL</v>
      </c>
    </row>
    <row r="188" spans="2:10" x14ac:dyDescent="0.35">
      <c r="B188">
        <v>180</v>
      </c>
      <c r="C188" t="s">
        <v>5</v>
      </c>
      <c r="D188" t="s">
        <v>17</v>
      </c>
      <c r="E188" s="3">
        <v>600</v>
      </c>
      <c r="F188" t="s">
        <v>7</v>
      </c>
      <c r="H188" t="str">
        <f t="shared" si="6"/>
        <v>-</v>
      </c>
      <c r="J188" t="str">
        <f t="shared" si="7"/>
        <v>NORMAL</v>
      </c>
    </row>
    <row r="189" spans="2:10" x14ac:dyDescent="0.35">
      <c r="B189">
        <v>181</v>
      </c>
      <c r="C189" t="s">
        <v>18</v>
      </c>
      <c r="D189" t="s">
        <v>6</v>
      </c>
      <c r="E189" s="3">
        <v>250</v>
      </c>
      <c r="F189" t="s">
        <v>16</v>
      </c>
      <c r="H189" t="str">
        <f t="shared" si="6"/>
        <v>-</v>
      </c>
      <c r="J189" t="str">
        <f t="shared" si="7"/>
        <v>NORMAL</v>
      </c>
    </row>
    <row r="190" spans="2:10" x14ac:dyDescent="0.35">
      <c r="B190">
        <v>182</v>
      </c>
      <c r="C190" t="s">
        <v>18</v>
      </c>
      <c r="D190" t="s">
        <v>10</v>
      </c>
      <c r="E190" s="3">
        <v>400</v>
      </c>
      <c r="F190" t="s">
        <v>11</v>
      </c>
      <c r="H190" t="str">
        <f t="shared" si="6"/>
        <v>-</v>
      </c>
      <c r="J190" t="str">
        <f t="shared" si="7"/>
        <v>NORMAL</v>
      </c>
    </row>
    <row r="191" spans="2:10" x14ac:dyDescent="0.35">
      <c r="B191">
        <v>183</v>
      </c>
      <c r="C191" t="s">
        <v>9</v>
      </c>
      <c r="D191" t="s">
        <v>10</v>
      </c>
      <c r="E191" s="3">
        <v>400</v>
      </c>
      <c r="F191" t="s">
        <v>16</v>
      </c>
      <c r="H191" t="str">
        <f t="shared" si="6"/>
        <v>-</v>
      </c>
      <c r="J191" t="str">
        <f t="shared" si="7"/>
        <v>NORMAL</v>
      </c>
    </row>
    <row r="192" spans="2:10" x14ac:dyDescent="0.35">
      <c r="B192">
        <v>184</v>
      </c>
      <c r="C192" t="s">
        <v>14</v>
      </c>
      <c r="D192" t="s">
        <v>17</v>
      </c>
      <c r="E192" s="3">
        <v>600</v>
      </c>
      <c r="F192" t="s">
        <v>7</v>
      </c>
      <c r="H192" t="str">
        <f t="shared" si="6"/>
        <v>-</v>
      </c>
      <c r="J192" t="str">
        <f t="shared" si="7"/>
        <v>NORMAL</v>
      </c>
    </row>
    <row r="193" spans="2:10" x14ac:dyDescent="0.35">
      <c r="B193">
        <v>185</v>
      </c>
      <c r="C193" t="s">
        <v>12</v>
      </c>
      <c r="D193" t="s">
        <v>8</v>
      </c>
      <c r="E193" s="3">
        <v>350</v>
      </c>
      <c r="F193" t="s">
        <v>16</v>
      </c>
      <c r="H193" t="str">
        <f t="shared" si="6"/>
        <v>-</v>
      </c>
      <c r="J193" t="str">
        <f t="shared" si="7"/>
        <v>NORMAL</v>
      </c>
    </row>
    <row r="194" spans="2:10" x14ac:dyDescent="0.35">
      <c r="B194">
        <v>186</v>
      </c>
      <c r="C194" t="s">
        <v>14</v>
      </c>
      <c r="D194" t="s">
        <v>6</v>
      </c>
      <c r="E194" s="3">
        <v>250</v>
      </c>
      <c r="F194" t="s">
        <v>11</v>
      </c>
      <c r="H194" t="str">
        <f t="shared" si="6"/>
        <v>-</v>
      </c>
      <c r="J194" t="str">
        <f t="shared" si="7"/>
        <v>NORMAL</v>
      </c>
    </row>
    <row r="195" spans="2:10" x14ac:dyDescent="0.35">
      <c r="B195">
        <v>187</v>
      </c>
      <c r="C195" t="s">
        <v>12</v>
      </c>
      <c r="D195" t="s">
        <v>8</v>
      </c>
      <c r="E195" s="3">
        <v>350</v>
      </c>
      <c r="F195" t="s">
        <v>7</v>
      </c>
      <c r="H195" t="str">
        <f t="shared" si="6"/>
        <v>-</v>
      </c>
      <c r="J195" t="str">
        <f t="shared" si="7"/>
        <v>NORMAL</v>
      </c>
    </row>
    <row r="196" spans="2:10" x14ac:dyDescent="0.35">
      <c r="B196">
        <v>188</v>
      </c>
      <c r="C196" t="s">
        <v>5</v>
      </c>
      <c r="D196" t="s">
        <v>6</v>
      </c>
      <c r="E196" s="3">
        <v>250</v>
      </c>
      <c r="F196" t="s">
        <v>7</v>
      </c>
      <c r="H196" t="str">
        <f t="shared" si="6"/>
        <v>-</v>
      </c>
      <c r="J196" t="str">
        <f t="shared" si="7"/>
        <v>NORMAL</v>
      </c>
    </row>
    <row r="197" spans="2:10" x14ac:dyDescent="0.35">
      <c r="B197">
        <v>189</v>
      </c>
      <c r="C197" t="s">
        <v>12</v>
      </c>
      <c r="D197" t="s">
        <v>10</v>
      </c>
      <c r="E197" s="3">
        <v>400</v>
      </c>
      <c r="F197" t="s">
        <v>11</v>
      </c>
      <c r="H197" t="str">
        <f t="shared" si="6"/>
        <v>-</v>
      </c>
      <c r="J197" t="str">
        <f t="shared" si="7"/>
        <v>NORMAL</v>
      </c>
    </row>
    <row r="198" spans="2:10" x14ac:dyDescent="0.35">
      <c r="B198">
        <v>190</v>
      </c>
      <c r="C198" t="s">
        <v>18</v>
      </c>
      <c r="D198" t="s">
        <v>15</v>
      </c>
      <c r="E198" s="3">
        <v>25</v>
      </c>
      <c r="F198" t="s">
        <v>7</v>
      </c>
      <c r="H198" t="str">
        <f t="shared" si="6"/>
        <v>-</v>
      </c>
      <c r="J198" t="str">
        <f t="shared" si="7"/>
        <v>NORMAL</v>
      </c>
    </row>
    <row r="199" spans="2:10" x14ac:dyDescent="0.35">
      <c r="B199">
        <v>191</v>
      </c>
      <c r="C199" t="s">
        <v>12</v>
      </c>
      <c r="D199" t="s">
        <v>8</v>
      </c>
      <c r="E199" s="3">
        <v>350</v>
      </c>
      <c r="F199" t="s">
        <v>7</v>
      </c>
      <c r="H199" t="str">
        <f t="shared" si="6"/>
        <v>-</v>
      </c>
      <c r="J199" t="str">
        <f t="shared" si="7"/>
        <v>NORMAL</v>
      </c>
    </row>
    <row r="200" spans="2:10" x14ac:dyDescent="0.35">
      <c r="B200">
        <v>192</v>
      </c>
      <c r="C200" t="s">
        <v>9</v>
      </c>
      <c r="D200" t="s">
        <v>6</v>
      </c>
      <c r="E200" s="3">
        <v>250</v>
      </c>
      <c r="F200" t="s">
        <v>11</v>
      </c>
      <c r="H200" t="str">
        <f t="shared" si="6"/>
        <v>-</v>
      </c>
      <c r="J200" t="str">
        <f t="shared" si="7"/>
        <v>NORMAL</v>
      </c>
    </row>
    <row r="201" spans="2:10" x14ac:dyDescent="0.35">
      <c r="B201">
        <v>193</v>
      </c>
      <c r="C201" t="s">
        <v>18</v>
      </c>
      <c r="D201" t="s">
        <v>8</v>
      </c>
      <c r="E201" s="3">
        <v>350</v>
      </c>
      <c r="F201" t="s">
        <v>16</v>
      </c>
      <c r="H201" t="str">
        <f t="shared" si="6"/>
        <v>-</v>
      </c>
      <c r="J201" t="str">
        <f t="shared" si="7"/>
        <v>NORMAL</v>
      </c>
    </row>
    <row r="202" spans="2:10" x14ac:dyDescent="0.35">
      <c r="B202">
        <v>194</v>
      </c>
      <c r="C202" t="s">
        <v>5</v>
      </c>
      <c r="D202" t="s">
        <v>6</v>
      </c>
      <c r="E202" s="3">
        <v>250</v>
      </c>
      <c r="F202" t="s">
        <v>7</v>
      </c>
      <c r="H202" t="str">
        <f t="shared" si="6"/>
        <v>-</v>
      </c>
      <c r="J202" t="str">
        <f t="shared" si="7"/>
        <v>NORMAL</v>
      </c>
    </row>
    <row r="203" spans="2:10" x14ac:dyDescent="0.35">
      <c r="B203">
        <v>195</v>
      </c>
      <c r="C203" t="s">
        <v>14</v>
      </c>
      <c r="D203" t="s">
        <v>13</v>
      </c>
      <c r="E203" s="3">
        <v>130</v>
      </c>
      <c r="F203" t="s">
        <v>16</v>
      </c>
      <c r="H203" t="str">
        <f t="shared" ref="H203:H209" si="8">IF(B203-B202=1,"-","Aquí ---")</f>
        <v>-</v>
      </c>
      <c r="J203" t="str">
        <f t="shared" ref="J203:J208" si="9">IF(B204-B203=1,"NORMAL","FALTA")</f>
        <v>NORMAL</v>
      </c>
    </row>
    <row r="204" spans="2:10" x14ac:dyDescent="0.35">
      <c r="B204">
        <v>196</v>
      </c>
      <c r="C204" t="s">
        <v>14</v>
      </c>
      <c r="D204" t="s">
        <v>17</v>
      </c>
      <c r="E204" s="3">
        <v>600</v>
      </c>
      <c r="F204" t="s">
        <v>7</v>
      </c>
      <c r="H204" t="str">
        <f t="shared" si="8"/>
        <v>-</v>
      </c>
      <c r="J204" t="str">
        <f t="shared" si="9"/>
        <v>NORMAL</v>
      </c>
    </row>
    <row r="205" spans="2:10" x14ac:dyDescent="0.35">
      <c r="B205">
        <v>197</v>
      </c>
      <c r="C205" t="s">
        <v>5</v>
      </c>
      <c r="D205" t="s">
        <v>6</v>
      </c>
      <c r="E205" s="3">
        <v>250</v>
      </c>
      <c r="F205" t="s">
        <v>7</v>
      </c>
      <c r="H205" t="str">
        <f t="shared" si="8"/>
        <v>-</v>
      </c>
      <c r="J205" t="str">
        <f t="shared" si="9"/>
        <v>NORMAL</v>
      </c>
    </row>
    <row r="206" spans="2:10" x14ac:dyDescent="0.35">
      <c r="B206">
        <v>198</v>
      </c>
      <c r="C206" t="s">
        <v>14</v>
      </c>
      <c r="D206" t="s">
        <v>17</v>
      </c>
      <c r="E206" s="3">
        <v>600</v>
      </c>
      <c r="F206" t="s">
        <v>11</v>
      </c>
      <c r="H206" t="str">
        <f t="shared" si="8"/>
        <v>-</v>
      </c>
      <c r="J206" t="str">
        <f t="shared" si="9"/>
        <v>NORMAL</v>
      </c>
    </row>
    <row r="207" spans="2:10" x14ac:dyDescent="0.35">
      <c r="B207">
        <v>199</v>
      </c>
      <c r="C207" t="s">
        <v>14</v>
      </c>
      <c r="D207" t="s">
        <v>15</v>
      </c>
      <c r="E207" s="3">
        <v>25</v>
      </c>
      <c r="F207" t="s">
        <v>7</v>
      </c>
      <c r="H207" t="str">
        <f t="shared" si="8"/>
        <v>-</v>
      </c>
      <c r="J207" t="str">
        <f t="shared" si="9"/>
        <v>NORMAL</v>
      </c>
    </row>
    <row r="208" spans="2:10" x14ac:dyDescent="0.35">
      <c r="B208">
        <v>200</v>
      </c>
      <c r="C208" t="s">
        <v>12</v>
      </c>
      <c r="D208" t="s">
        <v>15</v>
      </c>
      <c r="E208" s="3">
        <v>25</v>
      </c>
      <c r="F208" t="s">
        <v>7</v>
      </c>
      <c r="H208" t="str">
        <f t="shared" si="8"/>
        <v>-</v>
      </c>
      <c r="J208" t="str">
        <f t="shared" si="9"/>
        <v>NORMAL</v>
      </c>
    </row>
    <row r="209" spans="2:8" x14ac:dyDescent="0.35">
      <c r="B209">
        <v>201</v>
      </c>
      <c r="E209" s="3"/>
      <c r="H209" t="str">
        <f t="shared" si="8"/>
        <v>-</v>
      </c>
    </row>
  </sheetData>
  <autoFilter ref="J8:J208" xr:uid="{93258418-B2B8-4112-AB8A-E69F3384CF9C}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98276-27D4-4D59-BBB4-22D4115FF113}">
  <sheetPr codeName="Hoja4"/>
  <dimension ref="D5:K266"/>
  <sheetViews>
    <sheetView workbookViewId="0">
      <selection activeCell="H8" sqref="H8"/>
    </sheetView>
  </sheetViews>
  <sheetFormatPr baseColWidth="10" defaultRowHeight="14.5" x14ac:dyDescent="0.35"/>
  <cols>
    <col min="8" max="8" width="14.6328125" customWidth="1"/>
  </cols>
  <sheetData>
    <row r="5" spans="4:11" x14ac:dyDescent="0.35">
      <c r="D5" t="s">
        <v>46</v>
      </c>
      <c r="H5" s="16" t="s">
        <v>43</v>
      </c>
      <c r="I5" s="17">
        <v>75000</v>
      </c>
      <c r="K5">
        <v>10</v>
      </c>
    </row>
    <row r="6" spans="4:11" x14ac:dyDescent="0.35">
      <c r="D6" s="20">
        <v>44197</v>
      </c>
      <c r="E6" t="str">
        <f>TEXT(D6,"DDDD")</f>
        <v>viernes</v>
      </c>
      <c r="H6" s="16" t="s">
        <v>47</v>
      </c>
      <c r="I6" s="17">
        <v>815</v>
      </c>
      <c r="K6">
        <v>12</v>
      </c>
    </row>
    <row r="7" spans="4:11" x14ac:dyDescent="0.35">
      <c r="D7" s="20">
        <v>44200</v>
      </c>
      <c r="E7" t="str">
        <f t="shared" ref="E7:E26" si="0">TEXT(D7,"DDDD")</f>
        <v>lunes</v>
      </c>
      <c r="H7" s="16" t="s">
        <v>44</v>
      </c>
      <c r="I7" s="7">
        <v>120</v>
      </c>
    </row>
    <row r="8" spans="4:11" x14ac:dyDescent="0.35">
      <c r="D8" s="20">
        <v>44201</v>
      </c>
      <c r="E8" t="str">
        <f t="shared" si="0"/>
        <v>martes</v>
      </c>
      <c r="H8" s="27" t="s">
        <v>45</v>
      </c>
      <c r="I8" s="28">
        <f>RATE(I7,-I6,I5)</f>
        <v>4.6069346611873957E-3</v>
      </c>
    </row>
    <row r="9" spans="4:11" x14ac:dyDescent="0.35">
      <c r="D9" s="20">
        <v>44202</v>
      </c>
      <c r="E9" t="str">
        <f t="shared" si="0"/>
        <v>miércoles</v>
      </c>
    </row>
    <row r="10" spans="4:11" x14ac:dyDescent="0.35">
      <c r="D10" s="20">
        <v>44203</v>
      </c>
      <c r="E10" t="str">
        <f t="shared" si="0"/>
        <v>jueves</v>
      </c>
      <c r="K10" t="s">
        <v>48</v>
      </c>
    </row>
    <row r="11" spans="4:11" x14ac:dyDescent="0.35">
      <c r="D11" s="20">
        <v>44204</v>
      </c>
      <c r="E11" t="str">
        <f t="shared" si="0"/>
        <v>viernes</v>
      </c>
      <c r="H11" s="20">
        <v>23672</v>
      </c>
      <c r="I11" t="str">
        <f>TEXT(H11,"dddd")</f>
        <v>jueves</v>
      </c>
    </row>
    <row r="12" spans="4:11" x14ac:dyDescent="0.35">
      <c r="D12" s="20">
        <v>44207</v>
      </c>
      <c r="E12" t="str">
        <f t="shared" si="0"/>
        <v>lunes</v>
      </c>
    </row>
    <row r="13" spans="4:11" x14ac:dyDescent="0.35">
      <c r="D13" s="20">
        <v>44208</v>
      </c>
      <c r="E13" t="str">
        <f t="shared" si="0"/>
        <v>martes</v>
      </c>
    </row>
    <row r="14" spans="4:11" x14ac:dyDescent="0.35">
      <c r="D14" s="20">
        <v>44209</v>
      </c>
      <c r="E14" t="str">
        <f t="shared" si="0"/>
        <v>miércoles</v>
      </c>
    </row>
    <row r="15" spans="4:11" x14ac:dyDescent="0.35">
      <c r="D15" s="20">
        <v>44210</v>
      </c>
      <c r="E15" t="str">
        <f t="shared" si="0"/>
        <v>jueves</v>
      </c>
    </row>
    <row r="16" spans="4:11" x14ac:dyDescent="0.35">
      <c r="D16" s="20">
        <v>44211</v>
      </c>
      <c r="E16" t="str">
        <f t="shared" si="0"/>
        <v>viernes</v>
      </c>
    </row>
    <row r="17" spans="4:5" x14ac:dyDescent="0.35">
      <c r="D17" s="20">
        <v>44214</v>
      </c>
      <c r="E17" t="str">
        <f t="shared" si="0"/>
        <v>lunes</v>
      </c>
    </row>
    <row r="18" spans="4:5" x14ac:dyDescent="0.35">
      <c r="D18" s="20">
        <v>44215</v>
      </c>
      <c r="E18" t="str">
        <f t="shared" si="0"/>
        <v>martes</v>
      </c>
    </row>
    <row r="19" spans="4:5" x14ac:dyDescent="0.35">
      <c r="D19" s="20">
        <v>44216</v>
      </c>
      <c r="E19" t="str">
        <f t="shared" si="0"/>
        <v>miércoles</v>
      </c>
    </row>
    <row r="20" spans="4:5" x14ac:dyDescent="0.35">
      <c r="D20" s="20">
        <v>44217</v>
      </c>
      <c r="E20" t="str">
        <f t="shared" si="0"/>
        <v>jueves</v>
      </c>
    </row>
    <row r="21" spans="4:5" x14ac:dyDescent="0.35">
      <c r="D21" s="20">
        <v>44218</v>
      </c>
      <c r="E21" t="str">
        <f t="shared" si="0"/>
        <v>viernes</v>
      </c>
    </row>
    <row r="22" spans="4:5" x14ac:dyDescent="0.35">
      <c r="D22" s="20">
        <v>44221</v>
      </c>
      <c r="E22" t="str">
        <f t="shared" si="0"/>
        <v>lunes</v>
      </c>
    </row>
    <row r="23" spans="4:5" x14ac:dyDescent="0.35">
      <c r="D23" s="20">
        <v>44222</v>
      </c>
      <c r="E23" t="str">
        <f t="shared" si="0"/>
        <v>martes</v>
      </c>
    </row>
    <row r="24" spans="4:5" x14ac:dyDescent="0.35">
      <c r="D24" s="20">
        <v>44223</v>
      </c>
      <c r="E24" t="str">
        <f t="shared" si="0"/>
        <v>miércoles</v>
      </c>
    </row>
    <row r="25" spans="4:5" x14ac:dyDescent="0.35">
      <c r="D25" s="20">
        <v>44224</v>
      </c>
      <c r="E25" t="str">
        <f t="shared" si="0"/>
        <v>jueves</v>
      </c>
    </row>
    <row r="26" spans="4:5" x14ac:dyDescent="0.35">
      <c r="D26" s="20">
        <v>44225</v>
      </c>
      <c r="E26" t="str">
        <f t="shared" si="0"/>
        <v>viernes</v>
      </c>
    </row>
    <row r="27" spans="4:5" x14ac:dyDescent="0.35">
      <c r="D27" s="20">
        <v>44228</v>
      </c>
    </row>
    <row r="28" spans="4:5" x14ac:dyDescent="0.35">
      <c r="D28" s="20">
        <v>44229</v>
      </c>
    </row>
    <row r="29" spans="4:5" x14ac:dyDescent="0.35">
      <c r="D29" s="20">
        <v>44230</v>
      </c>
    </row>
    <row r="30" spans="4:5" x14ac:dyDescent="0.35">
      <c r="D30" s="20">
        <v>44231</v>
      </c>
    </row>
    <row r="31" spans="4:5" x14ac:dyDescent="0.35">
      <c r="D31" s="20">
        <v>44232</v>
      </c>
    </row>
    <row r="32" spans="4:5" x14ac:dyDescent="0.35">
      <c r="D32" s="20">
        <v>44235</v>
      </c>
    </row>
    <row r="33" spans="4:4" x14ac:dyDescent="0.35">
      <c r="D33" s="20">
        <v>44236</v>
      </c>
    </row>
    <row r="34" spans="4:4" x14ac:dyDescent="0.35">
      <c r="D34" s="20">
        <v>44237</v>
      </c>
    </row>
    <row r="35" spans="4:4" x14ac:dyDescent="0.35">
      <c r="D35" s="20">
        <v>44238</v>
      </c>
    </row>
    <row r="36" spans="4:4" x14ac:dyDescent="0.35">
      <c r="D36" s="20">
        <v>44239</v>
      </c>
    </row>
    <row r="37" spans="4:4" x14ac:dyDescent="0.35">
      <c r="D37" s="20">
        <v>44242</v>
      </c>
    </row>
    <row r="38" spans="4:4" x14ac:dyDescent="0.35">
      <c r="D38" s="20">
        <v>44243</v>
      </c>
    </row>
    <row r="39" spans="4:4" x14ac:dyDescent="0.35">
      <c r="D39" s="20">
        <v>44244</v>
      </c>
    </row>
    <row r="40" spans="4:4" x14ac:dyDescent="0.35">
      <c r="D40" s="20">
        <v>44245</v>
      </c>
    </row>
    <row r="41" spans="4:4" x14ac:dyDescent="0.35">
      <c r="D41" s="20">
        <v>44246</v>
      </c>
    </row>
    <row r="42" spans="4:4" x14ac:dyDescent="0.35">
      <c r="D42" s="20">
        <v>44249</v>
      </c>
    </row>
    <row r="43" spans="4:4" x14ac:dyDescent="0.35">
      <c r="D43" s="20">
        <v>44250</v>
      </c>
    </row>
    <row r="44" spans="4:4" x14ac:dyDescent="0.35">
      <c r="D44" s="20">
        <v>44251</v>
      </c>
    </row>
    <row r="45" spans="4:4" x14ac:dyDescent="0.35">
      <c r="D45" s="20">
        <v>44252</v>
      </c>
    </row>
    <row r="46" spans="4:4" x14ac:dyDescent="0.35">
      <c r="D46" s="20">
        <v>44253</v>
      </c>
    </row>
    <row r="47" spans="4:4" x14ac:dyDescent="0.35">
      <c r="D47" s="20">
        <v>44256</v>
      </c>
    </row>
    <row r="48" spans="4:4" x14ac:dyDescent="0.35">
      <c r="D48" s="20">
        <v>44257</v>
      </c>
    </row>
    <row r="49" spans="4:4" x14ac:dyDescent="0.35">
      <c r="D49" s="20">
        <v>44258</v>
      </c>
    </row>
    <row r="50" spans="4:4" x14ac:dyDescent="0.35">
      <c r="D50" s="20">
        <v>44259</v>
      </c>
    </row>
    <row r="51" spans="4:4" x14ac:dyDescent="0.35">
      <c r="D51" s="20">
        <v>44260</v>
      </c>
    </row>
    <row r="52" spans="4:4" x14ac:dyDescent="0.35">
      <c r="D52" s="20">
        <v>44263</v>
      </c>
    </row>
    <row r="53" spans="4:4" x14ac:dyDescent="0.35">
      <c r="D53" s="20">
        <v>44264</v>
      </c>
    </row>
    <row r="54" spans="4:4" x14ac:dyDescent="0.35">
      <c r="D54" s="20">
        <v>44265</v>
      </c>
    </row>
    <row r="55" spans="4:4" x14ac:dyDescent="0.35">
      <c r="D55" s="20">
        <v>44266</v>
      </c>
    </row>
    <row r="56" spans="4:4" x14ac:dyDescent="0.35">
      <c r="D56" s="20">
        <v>44267</v>
      </c>
    </row>
    <row r="57" spans="4:4" x14ac:dyDescent="0.35">
      <c r="D57" s="20">
        <v>44270</v>
      </c>
    </row>
    <row r="58" spans="4:4" x14ac:dyDescent="0.35">
      <c r="D58" s="20">
        <v>44271</v>
      </c>
    </row>
    <row r="59" spans="4:4" x14ac:dyDescent="0.35">
      <c r="D59" s="20">
        <v>44272</v>
      </c>
    </row>
    <row r="60" spans="4:4" x14ac:dyDescent="0.35">
      <c r="D60" s="20">
        <v>44273</v>
      </c>
    </row>
    <row r="61" spans="4:4" x14ac:dyDescent="0.35">
      <c r="D61" s="20">
        <v>44274</v>
      </c>
    </row>
    <row r="62" spans="4:4" x14ac:dyDescent="0.35">
      <c r="D62" s="20">
        <v>44277</v>
      </c>
    </row>
    <row r="63" spans="4:4" x14ac:dyDescent="0.35">
      <c r="D63" s="20">
        <v>44278</v>
      </c>
    </row>
    <row r="64" spans="4:4" x14ac:dyDescent="0.35">
      <c r="D64" s="20">
        <v>44279</v>
      </c>
    </row>
    <row r="65" spans="4:4" x14ac:dyDescent="0.35">
      <c r="D65" s="20">
        <v>44280</v>
      </c>
    </row>
    <row r="66" spans="4:4" x14ac:dyDescent="0.35">
      <c r="D66" s="20">
        <v>44281</v>
      </c>
    </row>
    <row r="67" spans="4:4" x14ac:dyDescent="0.35">
      <c r="D67" s="20">
        <v>44284</v>
      </c>
    </row>
    <row r="68" spans="4:4" x14ac:dyDescent="0.35">
      <c r="D68" s="20">
        <v>44285</v>
      </c>
    </row>
    <row r="69" spans="4:4" x14ac:dyDescent="0.35">
      <c r="D69" s="20">
        <v>44286</v>
      </c>
    </row>
    <row r="70" spans="4:4" x14ac:dyDescent="0.35">
      <c r="D70" s="20">
        <v>44287</v>
      </c>
    </row>
    <row r="71" spans="4:4" x14ac:dyDescent="0.35">
      <c r="D71" s="20">
        <v>44288</v>
      </c>
    </row>
    <row r="72" spans="4:4" x14ac:dyDescent="0.35">
      <c r="D72" s="20">
        <v>44291</v>
      </c>
    </row>
    <row r="73" spans="4:4" x14ac:dyDescent="0.35">
      <c r="D73" s="20">
        <v>44292</v>
      </c>
    </row>
    <row r="74" spans="4:4" x14ac:dyDescent="0.35">
      <c r="D74" s="20">
        <v>44293</v>
      </c>
    </row>
    <row r="75" spans="4:4" x14ac:dyDescent="0.35">
      <c r="D75" s="20">
        <v>44294</v>
      </c>
    </row>
    <row r="76" spans="4:4" x14ac:dyDescent="0.35">
      <c r="D76" s="20">
        <v>44295</v>
      </c>
    </row>
    <row r="77" spans="4:4" x14ac:dyDescent="0.35">
      <c r="D77" s="20">
        <v>44298</v>
      </c>
    </row>
    <row r="78" spans="4:4" x14ac:dyDescent="0.35">
      <c r="D78" s="20">
        <v>44299</v>
      </c>
    </row>
    <row r="79" spans="4:4" x14ac:dyDescent="0.35">
      <c r="D79" s="20">
        <v>44300</v>
      </c>
    </row>
    <row r="80" spans="4:4" x14ac:dyDescent="0.35">
      <c r="D80" s="20">
        <v>44301</v>
      </c>
    </row>
    <row r="81" spans="4:4" x14ac:dyDescent="0.35">
      <c r="D81" s="20">
        <v>44302</v>
      </c>
    </row>
    <row r="82" spans="4:4" x14ac:dyDescent="0.35">
      <c r="D82" s="20">
        <v>44305</v>
      </c>
    </row>
    <row r="83" spans="4:4" x14ac:dyDescent="0.35">
      <c r="D83" s="20">
        <v>44306</v>
      </c>
    </row>
    <row r="84" spans="4:4" x14ac:dyDescent="0.35">
      <c r="D84" s="20">
        <v>44307</v>
      </c>
    </row>
    <row r="85" spans="4:4" x14ac:dyDescent="0.35">
      <c r="D85" s="20">
        <v>44308</v>
      </c>
    </row>
    <row r="86" spans="4:4" x14ac:dyDescent="0.35">
      <c r="D86" s="20">
        <v>44309</v>
      </c>
    </row>
    <row r="87" spans="4:4" x14ac:dyDescent="0.35">
      <c r="D87" s="20">
        <v>44312</v>
      </c>
    </row>
    <row r="88" spans="4:4" x14ac:dyDescent="0.35">
      <c r="D88" s="20">
        <v>44313</v>
      </c>
    </row>
    <row r="89" spans="4:4" x14ac:dyDescent="0.35">
      <c r="D89" s="20">
        <v>44314</v>
      </c>
    </row>
    <row r="90" spans="4:4" x14ac:dyDescent="0.35">
      <c r="D90" s="20">
        <v>44315</v>
      </c>
    </row>
    <row r="91" spans="4:4" x14ac:dyDescent="0.35">
      <c r="D91" s="20">
        <v>44316</v>
      </c>
    </row>
    <row r="92" spans="4:4" x14ac:dyDescent="0.35">
      <c r="D92" s="20">
        <v>44319</v>
      </c>
    </row>
    <row r="93" spans="4:4" x14ac:dyDescent="0.35">
      <c r="D93" s="20">
        <v>44320</v>
      </c>
    </row>
    <row r="94" spans="4:4" x14ac:dyDescent="0.35">
      <c r="D94" s="20">
        <v>44321</v>
      </c>
    </row>
    <row r="95" spans="4:4" x14ac:dyDescent="0.35">
      <c r="D95" s="20">
        <v>44322</v>
      </c>
    </row>
    <row r="96" spans="4:4" x14ac:dyDescent="0.35">
      <c r="D96" s="20">
        <v>44323</v>
      </c>
    </row>
    <row r="97" spans="4:4" x14ac:dyDescent="0.35">
      <c r="D97" s="20">
        <v>44326</v>
      </c>
    </row>
    <row r="98" spans="4:4" x14ac:dyDescent="0.35">
      <c r="D98" s="20">
        <v>44327</v>
      </c>
    </row>
    <row r="99" spans="4:4" x14ac:dyDescent="0.35">
      <c r="D99" s="20">
        <v>44328</v>
      </c>
    </row>
    <row r="100" spans="4:4" x14ac:dyDescent="0.35">
      <c r="D100" s="20">
        <v>44329</v>
      </c>
    </row>
    <row r="101" spans="4:4" x14ac:dyDescent="0.35">
      <c r="D101" s="20">
        <v>44330</v>
      </c>
    </row>
    <row r="102" spans="4:4" x14ac:dyDescent="0.35">
      <c r="D102" s="20">
        <v>44333</v>
      </c>
    </row>
    <row r="103" spans="4:4" x14ac:dyDescent="0.35">
      <c r="D103" s="20">
        <v>44334</v>
      </c>
    </row>
    <row r="104" spans="4:4" x14ac:dyDescent="0.35">
      <c r="D104" s="20">
        <v>44335</v>
      </c>
    </row>
    <row r="105" spans="4:4" x14ac:dyDescent="0.35">
      <c r="D105" s="20">
        <v>44336</v>
      </c>
    </row>
    <row r="106" spans="4:4" x14ac:dyDescent="0.35">
      <c r="D106" s="20">
        <v>44337</v>
      </c>
    </row>
    <row r="107" spans="4:4" x14ac:dyDescent="0.35">
      <c r="D107" s="20">
        <v>44340</v>
      </c>
    </row>
    <row r="108" spans="4:4" x14ac:dyDescent="0.35">
      <c r="D108" s="20">
        <v>44341</v>
      </c>
    </row>
    <row r="109" spans="4:4" x14ac:dyDescent="0.35">
      <c r="D109" s="20">
        <v>44342</v>
      </c>
    </row>
    <row r="110" spans="4:4" x14ac:dyDescent="0.35">
      <c r="D110" s="20">
        <v>44343</v>
      </c>
    </row>
    <row r="111" spans="4:4" x14ac:dyDescent="0.35">
      <c r="D111" s="20">
        <v>44344</v>
      </c>
    </row>
    <row r="112" spans="4:4" x14ac:dyDescent="0.35">
      <c r="D112" s="20">
        <v>44347</v>
      </c>
    </row>
    <row r="113" spans="4:4" x14ac:dyDescent="0.35">
      <c r="D113" s="20">
        <v>44348</v>
      </c>
    </row>
    <row r="114" spans="4:4" x14ac:dyDescent="0.35">
      <c r="D114" s="20">
        <v>44349</v>
      </c>
    </row>
    <row r="115" spans="4:4" x14ac:dyDescent="0.35">
      <c r="D115" s="20">
        <v>44350</v>
      </c>
    </row>
    <row r="116" spans="4:4" x14ac:dyDescent="0.35">
      <c r="D116" s="20">
        <v>44351</v>
      </c>
    </row>
    <row r="117" spans="4:4" x14ac:dyDescent="0.35">
      <c r="D117" s="20">
        <v>44354</v>
      </c>
    </row>
    <row r="118" spans="4:4" x14ac:dyDescent="0.35">
      <c r="D118" s="20">
        <v>44355</v>
      </c>
    </row>
    <row r="119" spans="4:4" x14ac:dyDescent="0.35">
      <c r="D119" s="20">
        <v>44356</v>
      </c>
    </row>
    <row r="120" spans="4:4" x14ac:dyDescent="0.35">
      <c r="D120" s="20">
        <v>44357</v>
      </c>
    </row>
    <row r="121" spans="4:4" x14ac:dyDescent="0.35">
      <c r="D121" s="20">
        <v>44358</v>
      </c>
    </row>
    <row r="122" spans="4:4" x14ac:dyDescent="0.35">
      <c r="D122" s="20">
        <v>44361</v>
      </c>
    </row>
    <row r="123" spans="4:4" x14ac:dyDescent="0.35">
      <c r="D123" s="20">
        <v>44362</v>
      </c>
    </row>
    <row r="124" spans="4:4" x14ac:dyDescent="0.35">
      <c r="D124" s="20">
        <v>44363</v>
      </c>
    </row>
    <row r="125" spans="4:4" x14ac:dyDescent="0.35">
      <c r="D125" s="20">
        <v>44364</v>
      </c>
    </row>
    <row r="126" spans="4:4" x14ac:dyDescent="0.35">
      <c r="D126" s="20">
        <v>44365</v>
      </c>
    </row>
    <row r="127" spans="4:4" x14ac:dyDescent="0.35">
      <c r="D127" s="20">
        <v>44368</v>
      </c>
    </row>
    <row r="128" spans="4:4" x14ac:dyDescent="0.35">
      <c r="D128" s="20">
        <v>44369</v>
      </c>
    </row>
    <row r="129" spans="4:4" x14ac:dyDescent="0.35">
      <c r="D129" s="20">
        <v>44370</v>
      </c>
    </row>
    <row r="130" spans="4:4" x14ac:dyDescent="0.35">
      <c r="D130" s="20">
        <v>44371</v>
      </c>
    </row>
    <row r="131" spans="4:4" x14ac:dyDescent="0.35">
      <c r="D131" s="20">
        <v>44372</v>
      </c>
    </row>
    <row r="132" spans="4:4" x14ac:dyDescent="0.35">
      <c r="D132" s="20">
        <v>44375</v>
      </c>
    </row>
    <row r="133" spans="4:4" x14ac:dyDescent="0.35">
      <c r="D133" s="20">
        <v>44376</v>
      </c>
    </row>
    <row r="134" spans="4:4" x14ac:dyDescent="0.35">
      <c r="D134" s="20">
        <v>44377</v>
      </c>
    </row>
    <row r="135" spans="4:4" x14ac:dyDescent="0.35">
      <c r="D135" s="20">
        <v>44378</v>
      </c>
    </row>
    <row r="136" spans="4:4" x14ac:dyDescent="0.35">
      <c r="D136" s="20">
        <v>44379</v>
      </c>
    </row>
    <row r="137" spans="4:4" x14ac:dyDescent="0.35">
      <c r="D137" s="20">
        <v>44382</v>
      </c>
    </row>
    <row r="138" spans="4:4" x14ac:dyDescent="0.35">
      <c r="D138" s="20">
        <v>44383</v>
      </c>
    </row>
    <row r="139" spans="4:4" x14ac:dyDescent="0.35">
      <c r="D139" s="20">
        <v>44384</v>
      </c>
    </row>
    <row r="140" spans="4:4" x14ac:dyDescent="0.35">
      <c r="D140" s="20">
        <v>44385</v>
      </c>
    </row>
    <row r="141" spans="4:4" x14ac:dyDescent="0.35">
      <c r="D141" s="20">
        <v>44386</v>
      </c>
    </row>
    <row r="142" spans="4:4" x14ac:dyDescent="0.35">
      <c r="D142" s="20">
        <v>44389</v>
      </c>
    </row>
    <row r="143" spans="4:4" x14ac:dyDescent="0.35">
      <c r="D143" s="20">
        <v>44390</v>
      </c>
    </row>
    <row r="144" spans="4:4" x14ac:dyDescent="0.35">
      <c r="D144" s="20">
        <v>44391</v>
      </c>
    </row>
    <row r="145" spans="4:4" x14ac:dyDescent="0.35">
      <c r="D145" s="20">
        <v>44392</v>
      </c>
    </row>
    <row r="146" spans="4:4" x14ac:dyDescent="0.35">
      <c r="D146" s="20">
        <v>44393</v>
      </c>
    </row>
    <row r="147" spans="4:4" x14ac:dyDescent="0.35">
      <c r="D147" s="20">
        <v>44396</v>
      </c>
    </row>
    <row r="148" spans="4:4" x14ac:dyDescent="0.35">
      <c r="D148" s="20">
        <v>44397</v>
      </c>
    </row>
    <row r="149" spans="4:4" x14ac:dyDescent="0.35">
      <c r="D149" s="20">
        <v>44398</v>
      </c>
    </row>
    <row r="150" spans="4:4" x14ac:dyDescent="0.35">
      <c r="D150" s="20">
        <v>44399</v>
      </c>
    </row>
    <row r="151" spans="4:4" x14ac:dyDescent="0.35">
      <c r="D151" s="20">
        <v>44400</v>
      </c>
    </row>
    <row r="152" spans="4:4" x14ac:dyDescent="0.35">
      <c r="D152" s="20">
        <v>44403</v>
      </c>
    </row>
    <row r="153" spans="4:4" x14ac:dyDescent="0.35">
      <c r="D153" s="20">
        <v>44404</v>
      </c>
    </row>
    <row r="154" spans="4:4" x14ac:dyDescent="0.35">
      <c r="D154" s="20">
        <v>44405</v>
      </c>
    </row>
    <row r="155" spans="4:4" x14ac:dyDescent="0.35">
      <c r="D155" s="20">
        <v>44406</v>
      </c>
    </row>
    <row r="156" spans="4:4" x14ac:dyDescent="0.35">
      <c r="D156" s="20">
        <v>44407</v>
      </c>
    </row>
    <row r="157" spans="4:4" x14ac:dyDescent="0.35">
      <c r="D157" s="20">
        <v>44410</v>
      </c>
    </row>
    <row r="158" spans="4:4" x14ac:dyDescent="0.35">
      <c r="D158" s="20">
        <v>44411</v>
      </c>
    </row>
    <row r="159" spans="4:4" x14ac:dyDescent="0.35">
      <c r="D159" s="20">
        <v>44412</v>
      </c>
    </row>
    <row r="160" spans="4:4" x14ac:dyDescent="0.35">
      <c r="D160" s="20">
        <v>44413</v>
      </c>
    </row>
    <row r="161" spans="4:4" x14ac:dyDescent="0.35">
      <c r="D161" s="20">
        <v>44414</v>
      </c>
    </row>
    <row r="162" spans="4:4" x14ac:dyDescent="0.35">
      <c r="D162" s="20">
        <v>44417</v>
      </c>
    </row>
    <row r="163" spans="4:4" x14ac:dyDescent="0.35">
      <c r="D163" s="20">
        <v>44418</v>
      </c>
    </row>
    <row r="164" spans="4:4" x14ac:dyDescent="0.35">
      <c r="D164" s="20">
        <v>44419</v>
      </c>
    </row>
    <row r="165" spans="4:4" x14ac:dyDescent="0.35">
      <c r="D165" s="20">
        <v>44420</v>
      </c>
    </row>
    <row r="166" spans="4:4" x14ac:dyDescent="0.35">
      <c r="D166" s="20">
        <v>44421</v>
      </c>
    </row>
    <row r="167" spans="4:4" x14ac:dyDescent="0.35">
      <c r="D167" s="20">
        <v>44424</v>
      </c>
    </row>
    <row r="168" spans="4:4" x14ac:dyDescent="0.35">
      <c r="D168" s="20">
        <v>44425</v>
      </c>
    </row>
    <row r="169" spans="4:4" x14ac:dyDescent="0.35">
      <c r="D169" s="20">
        <v>44426</v>
      </c>
    </row>
    <row r="170" spans="4:4" x14ac:dyDescent="0.35">
      <c r="D170" s="20">
        <v>44427</v>
      </c>
    </row>
    <row r="171" spans="4:4" x14ac:dyDescent="0.35">
      <c r="D171" s="20">
        <v>44428</v>
      </c>
    </row>
    <row r="172" spans="4:4" x14ac:dyDescent="0.35">
      <c r="D172" s="20">
        <v>44431</v>
      </c>
    </row>
    <row r="173" spans="4:4" x14ac:dyDescent="0.35">
      <c r="D173" s="20">
        <v>44432</v>
      </c>
    </row>
    <row r="174" spans="4:4" x14ac:dyDescent="0.35">
      <c r="D174" s="20">
        <v>44433</v>
      </c>
    </row>
    <row r="175" spans="4:4" x14ac:dyDescent="0.35">
      <c r="D175" s="20">
        <v>44434</v>
      </c>
    </row>
    <row r="176" spans="4:4" x14ac:dyDescent="0.35">
      <c r="D176" s="20">
        <v>44435</v>
      </c>
    </row>
    <row r="177" spans="4:4" x14ac:dyDescent="0.35">
      <c r="D177" s="20">
        <v>44438</v>
      </c>
    </row>
    <row r="178" spans="4:4" x14ac:dyDescent="0.35">
      <c r="D178" s="20">
        <v>44439</v>
      </c>
    </row>
    <row r="179" spans="4:4" x14ac:dyDescent="0.35">
      <c r="D179" s="20">
        <v>44440</v>
      </c>
    </row>
    <row r="180" spans="4:4" x14ac:dyDescent="0.35">
      <c r="D180" s="20">
        <v>44441</v>
      </c>
    </row>
    <row r="181" spans="4:4" x14ac:dyDescent="0.35">
      <c r="D181" s="20">
        <v>44442</v>
      </c>
    </row>
    <row r="182" spans="4:4" x14ac:dyDescent="0.35">
      <c r="D182" s="20">
        <v>44445</v>
      </c>
    </row>
    <row r="183" spans="4:4" x14ac:dyDescent="0.35">
      <c r="D183" s="20">
        <v>44446</v>
      </c>
    </row>
    <row r="184" spans="4:4" x14ac:dyDescent="0.35">
      <c r="D184" s="20">
        <v>44447</v>
      </c>
    </row>
    <row r="185" spans="4:4" x14ac:dyDescent="0.35">
      <c r="D185" s="20">
        <v>44448</v>
      </c>
    </row>
    <row r="186" spans="4:4" x14ac:dyDescent="0.35">
      <c r="D186" s="20">
        <v>44449</v>
      </c>
    </row>
    <row r="187" spans="4:4" x14ac:dyDescent="0.35">
      <c r="D187" s="20">
        <v>44452</v>
      </c>
    </row>
    <row r="188" spans="4:4" x14ac:dyDescent="0.35">
      <c r="D188" s="20">
        <v>44453</v>
      </c>
    </row>
    <row r="189" spans="4:4" x14ac:dyDescent="0.35">
      <c r="D189" s="20">
        <v>44454</v>
      </c>
    </row>
    <row r="190" spans="4:4" x14ac:dyDescent="0.35">
      <c r="D190" s="20">
        <v>44455</v>
      </c>
    </row>
    <row r="191" spans="4:4" x14ac:dyDescent="0.35">
      <c r="D191" s="20">
        <v>44456</v>
      </c>
    </row>
    <row r="192" spans="4:4" x14ac:dyDescent="0.35">
      <c r="D192" s="20">
        <v>44459</v>
      </c>
    </row>
    <row r="193" spans="4:4" x14ac:dyDescent="0.35">
      <c r="D193" s="20">
        <v>44460</v>
      </c>
    </row>
    <row r="194" spans="4:4" x14ac:dyDescent="0.35">
      <c r="D194" s="20">
        <v>44461</v>
      </c>
    </row>
    <row r="195" spans="4:4" x14ac:dyDescent="0.35">
      <c r="D195" s="20">
        <v>44462</v>
      </c>
    </row>
    <row r="196" spans="4:4" x14ac:dyDescent="0.35">
      <c r="D196" s="20">
        <v>44463</v>
      </c>
    </row>
    <row r="197" spans="4:4" x14ac:dyDescent="0.35">
      <c r="D197" s="20">
        <v>44466</v>
      </c>
    </row>
    <row r="198" spans="4:4" x14ac:dyDescent="0.35">
      <c r="D198" s="20">
        <v>44467</v>
      </c>
    </row>
    <row r="199" spans="4:4" x14ac:dyDescent="0.35">
      <c r="D199" s="20">
        <v>44468</v>
      </c>
    </row>
    <row r="200" spans="4:4" x14ac:dyDescent="0.35">
      <c r="D200" s="20">
        <v>44469</v>
      </c>
    </row>
    <row r="201" spans="4:4" x14ac:dyDescent="0.35">
      <c r="D201" s="20">
        <v>44470</v>
      </c>
    </row>
    <row r="202" spans="4:4" x14ac:dyDescent="0.35">
      <c r="D202" s="20">
        <v>44473</v>
      </c>
    </row>
    <row r="203" spans="4:4" x14ac:dyDescent="0.35">
      <c r="D203" s="20">
        <v>44474</v>
      </c>
    </row>
    <row r="204" spans="4:4" x14ac:dyDescent="0.35">
      <c r="D204" s="20">
        <v>44475</v>
      </c>
    </row>
    <row r="205" spans="4:4" x14ac:dyDescent="0.35">
      <c r="D205" s="20">
        <v>44476</v>
      </c>
    </row>
    <row r="206" spans="4:4" x14ac:dyDescent="0.35">
      <c r="D206" s="20">
        <v>44477</v>
      </c>
    </row>
    <row r="207" spans="4:4" x14ac:dyDescent="0.35">
      <c r="D207" s="20">
        <v>44480</v>
      </c>
    </row>
    <row r="208" spans="4:4" x14ac:dyDescent="0.35">
      <c r="D208" s="20">
        <v>44481</v>
      </c>
    </row>
    <row r="209" spans="4:4" x14ac:dyDescent="0.35">
      <c r="D209" s="20">
        <v>44482</v>
      </c>
    </row>
    <row r="210" spans="4:4" x14ac:dyDescent="0.35">
      <c r="D210" s="20">
        <v>44483</v>
      </c>
    </row>
    <row r="211" spans="4:4" x14ac:dyDescent="0.35">
      <c r="D211" s="20">
        <v>44484</v>
      </c>
    </row>
    <row r="212" spans="4:4" x14ac:dyDescent="0.35">
      <c r="D212" s="20">
        <v>44487</v>
      </c>
    </row>
    <row r="213" spans="4:4" x14ac:dyDescent="0.35">
      <c r="D213" s="20">
        <v>44488</v>
      </c>
    </row>
    <row r="214" spans="4:4" x14ac:dyDescent="0.35">
      <c r="D214" s="20">
        <v>44489</v>
      </c>
    </row>
    <row r="215" spans="4:4" x14ac:dyDescent="0.35">
      <c r="D215" s="20">
        <v>44490</v>
      </c>
    </row>
    <row r="216" spans="4:4" x14ac:dyDescent="0.35">
      <c r="D216" s="20">
        <v>44491</v>
      </c>
    </row>
    <row r="217" spans="4:4" x14ac:dyDescent="0.35">
      <c r="D217" s="20">
        <v>44494</v>
      </c>
    </row>
    <row r="218" spans="4:4" x14ac:dyDescent="0.35">
      <c r="D218" s="20">
        <v>44495</v>
      </c>
    </row>
    <row r="219" spans="4:4" x14ac:dyDescent="0.35">
      <c r="D219" s="20">
        <v>44496</v>
      </c>
    </row>
    <row r="220" spans="4:4" x14ac:dyDescent="0.35">
      <c r="D220" s="20">
        <v>44497</v>
      </c>
    </row>
    <row r="221" spans="4:4" x14ac:dyDescent="0.35">
      <c r="D221" s="20">
        <v>44498</v>
      </c>
    </row>
    <row r="222" spans="4:4" x14ac:dyDescent="0.35">
      <c r="D222" s="20">
        <v>44501</v>
      </c>
    </row>
    <row r="223" spans="4:4" x14ac:dyDescent="0.35">
      <c r="D223" s="20">
        <v>44502</v>
      </c>
    </row>
    <row r="224" spans="4:4" x14ac:dyDescent="0.35">
      <c r="D224" s="20">
        <v>44503</v>
      </c>
    </row>
    <row r="225" spans="4:4" x14ac:dyDescent="0.35">
      <c r="D225" s="20">
        <v>44504</v>
      </c>
    </row>
    <row r="226" spans="4:4" x14ac:dyDescent="0.35">
      <c r="D226" s="20">
        <v>44505</v>
      </c>
    </row>
    <row r="227" spans="4:4" x14ac:dyDescent="0.35">
      <c r="D227" s="20">
        <v>44508</v>
      </c>
    </row>
    <row r="228" spans="4:4" x14ac:dyDescent="0.35">
      <c r="D228" s="20">
        <v>44509</v>
      </c>
    </row>
    <row r="229" spans="4:4" x14ac:dyDescent="0.35">
      <c r="D229" s="20">
        <v>44510</v>
      </c>
    </row>
    <row r="230" spans="4:4" x14ac:dyDescent="0.35">
      <c r="D230" s="20">
        <v>44511</v>
      </c>
    </row>
    <row r="231" spans="4:4" x14ac:dyDescent="0.35">
      <c r="D231" s="20">
        <v>44512</v>
      </c>
    </row>
    <row r="232" spans="4:4" x14ac:dyDescent="0.35">
      <c r="D232" s="20">
        <v>44515</v>
      </c>
    </row>
    <row r="233" spans="4:4" x14ac:dyDescent="0.35">
      <c r="D233" s="20">
        <v>44516</v>
      </c>
    </row>
    <row r="234" spans="4:4" x14ac:dyDescent="0.35">
      <c r="D234" s="20">
        <v>44517</v>
      </c>
    </row>
    <row r="235" spans="4:4" x14ac:dyDescent="0.35">
      <c r="D235" s="20">
        <v>44518</v>
      </c>
    </row>
    <row r="236" spans="4:4" x14ac:dyDescent="0.35">
      <c r="D236" s="20">
        <v>44519</v>
      </c>
    </row>
    <row r="237" spans="4:4" x14ac:dyDescent="0.35">
      <c r="D237" s="20">
        <v>44522</v>
      </c>
    </row>
    <row r="238" spans="4:4" x14ac:dyDescent="0.35">
      <c r="D238" s="20">
        <v>44523</v>
      </c>
    </row>
    <row r="239" spans="4:4" x14ac:dyDescent="0.35">
      <c r="D239" s="20">
        <v>44524</v>
      </c>
    </row>
    <row r="240" spans="4:4" x14ac:dyDescent="0.35">
      <c r="D240" s="20">
        <v>44525</v>
      </c>
    </row>
    <row r="241" spans="4:4" x14ac:dyDescent="0.35">
      <c r="D241" s="20">
        <v>44526</v>
      </c>
    </row>
    <row r="242" spans="4:4" x14ac:dyDescent="0.35">
      <c r="D242" s="20">
        <v>44529</v>
      </c>
    </row>
    <row r="243" spans="4:4" x14ac:dyDescent="0.35">
      <c r="D243" s="20">
        <v>44530</v>
      </c>
    </row>
    <row r="244" spans="4:4" x14ac:dyDescent="0.35">
      <c r="D244" s="20">
        <v>44531</v>
      </c>
    </row>
    <row r="245" spans="4:4" x14ac:dyDescent="0.35">
      <c r="D245" s="20">
        <v>44532</v>
      </c>
    </row>
    <row r="246" spans="4:4" x14ac:dyDescent="0.35">
      <c r="D246" s="20">
        <v>44533</v>
      </c>
    </row>
    <row r="247" spans="4:4" x14ac:dyDescent="0.35">
      <c r="D247" s="20">
        <v>44536</v>
      </c>
    </row>
    <row r="248" spans="4:4" x14ac:dyDescent="0.35">
      <c r="D248" s="20">
        <v>44537</v>
      </c>
    </row>
    <row r="249" spans="4:4" x14ac:dyDescent="0.35">
      <c r="D249" s="20">
        <v>44538</v>
      </c>
    </row>
    <row r="250" spans="4:4" x14ac:dyDescent="0.35">
      <c r="D250" s="20">
        <v>44539</v>
      </c>
    </row>
    <row r="251" spans="4:4" x14ac:dyDescent="0.35">
      <c r="D251" s="20">
        <v>44540</v>
      </c>
    </row>
    <row r="252" spans="4:4" x14ac:dyDescent="0.35">
      <c r="D252" s="20">
        <v>44543</v>
      </c>
    </row>
    <row r="253" spans="4:4" x14ac:dyDescent="0.35">
      <c r="D253" s="20">
        <v>44544</v>
      </c>
    </row>
    <row r="254" spans="4:4" x14ac:dyDescent="0.35">
      <c r="D254" s="20">
        <v>44545</v>
      </c>
    </row>
    <row r="255" spans="4:4" x14ac:dyDescent="0.35">
      <c r="D255" s="20">
        <v>44546</v>
      </c>
    </row>
    <row r="256" spans="4:4" x14ac:dyDescent="0.35">
      <c r="D256" s="20">
        <v>44547</v>
      </c>
    </row>
    <row r="257" spans="4:4" x14ac:dyDescent="0.35">
      <c r="D257" s="20">
        <v>44550</v>
      </c>
    </row>
    <row r="258" spans="4:4" x14ac:dyDescent="0.35">
      <c r="D258" s="20">
        <v>44551</v>
      </c>
    </row>
    <row r="259" spans="4:4" x14ac:dyDescent="0.35">
      <c r="D259" s="20">
        <v>44552</v>
      </c>
    </row>
    <row r="260" spans="4:4" x14ac:dyDescent="0.35">
      <c r="D260" s="20">
        <v>44553</v>
      </c>
    </row>
    <row r="261" spans="4:4" x14ac:dyDescent="0.35">
      <c r="D261" s="20">
        <v>44554</v>
      </c>
    </row>
    <row r="262" spans="4:4" x14ac:dyDescent="0.35">
      <c r="D262" s="20">
        <v>44557</v>
      </c>
    </row>
    <row r="263" spans="4:4" x14ac:dyDescent="0.35">
      <c r="D263" s="20">
        <v>44558</v>
      </c>
    </row>
    <row r="264" spans="4:4" x14ac:dyDescent="0.35">
      <c r="D264" s="20">
        <v>44559</v>
      </c>
    </row>
    <row r="265" spans="4:4" x14ac:dyDescent="0.35">
      <c r="D265" s="20">
        <v>44560</v>
      </c>
    </row>
    <row r="266" spans="4:4" x14ac:dyDescent="0.35">
      <c r="D266" s="20">
        <v>44561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90B22-E690-416E-A439-33B81C09C542}">
  <sheetPr codeName="Hoja5"/>
  <dimension ref="B2:M17"/>
  <sheetViews>
    <sheetView workbookViewId="0">
      <selection activeCell="B6" sqref="B6"/>
    </sheetView>
  </sheetViews>
  <sheetFormatPr baseColWidth="10" defaultRowHeight="14.5" x14ac:dyDescent="0.35"/>
  <sheetData>
    <row r="2" spans="2:13" x14ac:dyDescent="0.35">
      <c r="B2" s="16" t="s">
        <v>20</v>
      </c>
      <c r="C2" s="16" t="s">
        <v>19</v>
      </c>
      <c r="D2" s="16" t="s">
        <v>21</v>
      </c>
      <c r="E2" s="16" t="s">
        <v>22</v>
      </c>
      <c r="F2" s="16" t="s">
        <v>23</v>
      </c>
      <c r="G2" s="16" t="s">
        <v>24</v>
      </c>
      <c r="H2" s="16" t="s">
        <v>25</v>
      </c>
      <c r="I2" s="16" t="s">
        <v>26</v>
      </c>
      <c r="J2" s="16" t="s">
        <v>27</v>
      </c>
      <c r="K2" s="16" t="s">
        <v>28</v>
      </c>
      <c r="L2" s="16" t="s">
        <v>29</v>
      </c>
      <c r="M2" s="16" t="s">
        <v>30</v>
      </c>
    </row>
    <row r="3" spans="2:13" x14ac:dyDescent="0.35">
      <c r="B3" s="7">
        <v>2</v>
      </c>
      <c r="C3" s="7">
        <v>4</v>
      </c>
      <c r="D3" s="7">
        <v>6</v>
      </c>
      <c r="E3" s="7">
        <v>8</v>
      </c>
      <c r="F3" s="7">
        <v>10</v>
      </c>
      <c r="G3" s="7">
        <v>12</v>
      </c>
      <c r="H3" s="7">
        <v>14</v>
      </c>
      <c r="I3" s="7">
        <v>16</v>
      </c>
      <c r="J3" s="7">
        <v>18</v>
      </c>
      <c r="K3" s="7">
        <v>20</v>
      </c>
      <c r="L3" s="7">
        <v>22</v>
      </c>
      <c r="M3" s="7">
        <v>24</v>
      </c>
    </row>
    <row r="6" spans="2:13" x14ac:dyDescent="0.35">
      <c r="B6" t="e">
        <f>TRANSPOSE(B2:M3)</f>
        <v>#VALUE!</v>
      </c>
      <c r="F6" s="16" t="s">
        <v>20</v>
      </c>
      <c r="G6" s="7">
        <v>2</v>
      </c>
    </row>
    <row r="7" spans="2:13" x14ac:dyDescent="0.35">
      <c r="F7" s="16" t="s">
        <v>19</v>
      </c>
      <c r="G7" s="7">
        <v>4</v>
      </c>
    </row>
    <row r="8" spans="2:13" x14ac:dyDescent="0.35">
      <c r="F8" s="16" t="s">
        <v>21</v>
      </c>
      <c r="G8" s="7">
        <v>6</v>
      </c>
    </row>
    <row r="9" spans="2:13" x14ac:dyDescent="0.35">
      <c r="F9" s="16" t="s">
        <v>22</v>
      </c>
      <c r="G9" s="7">
        <v>8</v>
      </c>
    </row>
    <row r="10" spans="2:13" x14ac:dyDescent="0.35">
      <c r="F10" s="16" t="s">
        <v>23</v>
      </c>
      <c r="G10" s="7">
        <v>10</v>
      </c>
    </row>
    <row r="11" spans="2:13" x14ac:dyDescent="0.35">
      <c r="F11" s="16" t="s">
        <v>24</v>
      </c>
      <c r="G11" s="7">
        <v>12</v>
      </c>
    </row>
    <row r="12" spans="2:13" x14ac:dyDescent="0.35">
      <c r="F12" s="16" t="s">
        <v>25</v>
      </c>
      <c r="G12" s="7">
        <v>14</v>
      </c>
    </row>
    <row r="13" spans="2:13" x14ac:dyDescent="0.35">
      <c r="F13" s="16" t="s">
        <v>26</v>
      </c>
      <c r="G13" s="7">
        <v>16</v>
      </c>
    </row>
    <row r="14" spans="2:13" x14ac:dyDescent="0.35">
      <c r="F14" s="16" t="s">
        <v>27</v>
      </c>
      <c r="G14" s="7">
        <v>18</v>
      </c>
    </row>
    <row r="15" spans="2:13" x14ac:dyDescent="0.35">
      <c r="F15" s="16" t="s">
        <v>28</v>
      </c>
      <c r="G15" s="7">
        <v>20</v>
      </c>
    </row>
    <row r="16" spans="2:13" x14ac:dyDescent="0.35">
      <c r="F16" s="16" t="s">
        <v>29</v>
      </c>
      <c r="G16" s="7">
        <v>22</v>
      </c>
    </row>
    <row r="17" spans="6:7" x14ac:dyDescent="0.35">
      <c r="F17" s="16" t="s">
        <v>30</v>
      </c>
      <c r="G17" s="7">
        <v>24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771AD-DDAE-46F5-BBBF-5585E0320296}">
  <sheetPr codeName="Hoja6"/>
  <dimension ref="C2:K13"/>
  <sheetViews>
    <sheetView workbookViewId="0">
      <selection activeCell="C5" sqref="C5"/>
    </sheetView>
  </sheetViews>
  <sheetFormatPr baseColWidth="10" defaultRowHeight="14.5" x14ac:dyDescent="0.35"/>
  <cols>
    <col min="5" max="5" width="14.08984375" customWidth="1"/>
    <col min="10" max="10" width="11.1796875" bestFit="1" customWidth="1"/>
  </cols>
  <sheetData>
    <row r="2" spans="3:11" x14ac:dyDescent="0.35">
      <c r="F2" t="s">
        <v>66</v>
      </c>
    </row>
    <row r="3" spans="3:11" x14ac:dyDescent="0.35">
      <c r="I3" s="21"/>
      <c r="J3" s="22" t="s">
        <v>32</v>
      </c>
      <c r="K3" s="23" t="s">
        <v>33</v>
      </c>
    </row>
    <row r="4" spans="3:11" x14ac:dyDescent="0.35">
      <c r="C4" s="18" t="s">
        <v>31</v>
      </c>
      <c r="E4" t="s">
        <v>61</v>
      </c>
      <c r="I4" s="24">
        <v>36196</v>
      </c>
      <c r="J4" s="5" t="str">
        <f>TEXT(I4,"DDDD")</f>
        <v>viernes</v>
      </c>
      <c r="K4" s="6" t="str">
        <f>TEXT(I4,"MMMM")</f>
        <v>febrero</v>
      </c>
    </row>
    <row r="5" spans="3:11" x14ac:dyDescent="0.35">
      <c r="C5" s="19">
        <v>456</v>
      </c>
      <c r="E5" t="s">
        <v>62</v>
      </c>
      <c r="I5" s="24">
        <f ca="1">TODAY()</f>
        <v>44521</v>
      </c>
      <c r="J5" s="5" t="str">
        <f t="shared" ref="J5:J7" ca="1" si="0">TEXT(I5,"DDDD")</f>
        <v>domingo</v>
      </c>
      <c r="K5" s="6" t="str">
        <f t="shared" ref="K5:K7" ca="1" si="1">TEXT(I5,"MMMM")</f>
        <v>noviembre</v>
      </c>
    </row>
    <row r="6" spans="3:11" x14ac:dyDescent="0.35">
      <c r="C6" s="19">
        <v>79807</v>
      </c>
      <c r="E6" t="s">
        <v>63</v>
      </c>
      <c r="I6" s="24">
        <v>44481</v>
      </c>
      <c r="J6" s="5" t="str">
        <f t="shared" si="0"/>
        <v>martes</v>
      </c>
      <c r="K6" s="6" t="str">
        <f t="shared" si="1"/>
        <v>octubre</v>
      </c>
    </row>
    <row r="7" spans="3:11" x14ac:dyDescent="0.35">
      <c r="C7" s="19">
        <v>5</v>
      </c>
      <c r="E7" t="s">
        <v>64</v>
      </c>
      <c r="I7" s="25">
        <v>44511</v>
      </c>
      <c r="J7" s="5" t="str">
        <f t="shared" si="0"/>
        <v>jueves</v>
      </c>
      <c r="K7" s="6" t="str">
        <f t="shared" si="1"/>
        <v>noviembre</v>
      </c>
    </row>
    <row r="8" spans="3:11" x14ac:dyDescent="0.35">
      <c r="C8" s="19">
        <v>9</v>
      </c>
      <c r="E8" t="s">
        <v>65</v>
      </c>
    </row>
    <row r="9" spans="3:11" x14ac:dyDescent="0.35">
      <c r="C9" s="19">
        <v>67</v>
      </c>
    </row>
    <row r="10" spans="3:11" x14ac:dyDescent="0.35">
      <c r="C10" s="19">
        <v>98</v>
      </c>
    </row>
    <row r="11" spans="3:11" x14ac:dyDescent="0.35">
      <c r="C11" s="19">
        <v>789</v>
      </c>
    </row>
    <row r="12" spans="3:11" x14ac:dyDescent="0.35">
      <c r="C12" s="19">
        <v>56</v>
      </c>
    </row>
    <row r="13" spans="3:11" x14ac:dyDescent="0.35">
      <c r="C13" s="19">
        <v>309</v>
      </c>
    </row>
  </sheetData>
  <conditionalFormatting sqref="C5:C13">
    <cfRule type="cellIs" dxfId="1" priority="2" operator="greaterThan">
      <formula>$C$9</formula>
    </cfRule>
  </conditionalFormatting>
  <conditionalFormatting sqref="C4:C13">
    <cfRule type="cellIs" dxfId="0" priority="1" operator="greaterThan">
      <formula>789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92289-EA6E-4F9E-9F48-31B0B7CBEE33}">
  <sheetPr codeName="Hoja7"/>
  <dimension ref="C4:J12"/>
  <sheetViews>
    <sheetView workbookViewId="0">
      <selection activeCell="I6" sqref="I6"/>
    </sheetView>
  </sheetViews>
  <sheetFormatPr baseColWidth="10" defaultRowHeight="14.5" x14ac:dyDescent="0.35"/>
  <cols>
    <col min="3" max="3" width="10.6328125" customWidth="1"/>
    <col min="4" max="4" width="18.81640625" bestFit="1" customWidth="1"/>
    <col min="5" max="5" width="17.6328125" bestFit="1" customWidth="1"/>
  </cols>
  <sheetData>
    <row r="4" spans="3:10" x14ac:dyDescent="0.35">
      <c r="C4" s="16" t="s">
        <v>34</v>
      </c>
      <c r="D4" s="16" t="s">
        <v>37</v>
      </c>
      <c r="E4" s="16" t="s">
        <v>35</v>
      </c>
      <c r="F4" s="16" t="s">
        <v>36</v>
      </c>
    </row>
    <row r="5" spans="3:10" x14ac:dyDescent="0.35">
      <c r="C5" s="7" t="s">
        <v>38</v>
      </c>
      <c r="D5" s="24">
        <v>44232</v>
      </c>
      <c r="E5" s="7">
        <v>12</v>
      </c>
      <c r="F5" s="26">
        <f>EDATE(D5,E5)</f>
        <v>44597</v>
      </c>
      <c r="G5" t="str">
        <f>TEXT(F5,"DDDD")</f>
        <v>sábado</v>
      </c>
      <c r="I5" s="20">
        <v>44280</v>
      </c>
      <c r="J5" t="str">
        <f>TEXT(I5,"DDDD")</f>
        <v>jueves</v>
      </c>
    </row>
    <row r="6" spans="3:10" x14ac:dyDescent="0.35">
      <c r="C6" s="7" t="s">
        <v>39</v>
      </c>
      <c r="D6" s="24">
        <f ca="1">TODAY()</f>
        <v>44521</v>
      </c>
      <c r="E6" s="7">
        <v>24</v>
      </c>
      <c r="F6" s="26">
        <f t="shared" ref="F6:F8" ca="1" si="0">EDATE(D6,E6)</f>
        <v>45251</v>
      </c>
      <c r="G6" t="str">
        <f t="shared" ref="G6:G8" ca="1" si="1">TEXT(F6,"DDDD")</f>
        <v>martes</v>
      </c>
      <c r="I6" s="20"/>
    </row>
    <row r="7" spans="3:10" x14ac:dyDescent="0.35">
      <c r="C7" s="7" t="s">
        <v>40</v>
      </c>
      <c r="D7" s="24">
        <v>44481</v>
      </c>
      <c r="E7" s="7">
        <v>8</v>
      </c>
      <c r="F7" s="26">
        <f t="shared" si="0"/>
        <v>44724</v>
      </c>
      <c r="G7" t="str">
        <f t="shared" si="1"/>
        <v>domingo</v>
      </c>
    </row>
    <row r="8" spans="3:10" x14ac:dyDescent="0.35">
      <c r="C8" s="7" t="s">
        <v>41</v>
      </c>
      <c r="D8" s="25">
        <v>44511</v>
      </c>
      <c r="E8" s="7">
        <v>10</v>
      </c>
      <c r="F8" s="26">
        <f t="shared" si="0"/>
        <v>44815</v>
      </c>
      <c r="G8" t="str">
        <f t="shared" si="1"/>
        <v>domingo</v>
      </c>
    </row>
    <row r="9" spans="3:10" x14ac:dyDescent="0.35">
      <c r="C9" s="7"/>
      <c r="D9" s="7"/>
      <c r="E9" s="7"/>
      <c r="F9" s="26"/>
    </row>
    <row r="10" spans="3:10" x14ac:dyDescent="0.35">
      <c r="C10" s="7"/>
      <c r="D10" s="7"/>
      <c r="E10" s="7"/>
      <c r="F10" s="26"/>
    </row>
    <row r="11" spans="3:10" x14ac:dyDescent="0.35">
      <c r="C11" s="7"/>
      <c r="D11" s="7"/>
      <c r="E11" s="7"/>
      <c r="F11" s="26"/>
    </row>
    <row r="12" spans="3:10" x14ac:dyDescent="0.35">
      <c r="C12" s="7"/>
      <c r="D12" s="7"/>
      <c r="E12" s="7"/>
      <c r="F12" s="26"/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6659B-AB28-4CFC-8522-7FFEDFA78081}">
  <sheetPr codeName="Hoja8"/>
  <dimension ref="B1:H34"/>
  <sheetViews>
    <sheetView workbookViewId="0">
      <selection activeCell="D7" sqref="D7"/>
    </sheetView>
  </sheetViews>
  <sheetFormatPr baseColWidth="10" defaultRowHeight="14.5" x14ac:dyDescent="0.35"/>
  <cols>
    <col min="4" max="4" width="14.7265625" customWidth="1"/>
  </cols>
  <sheetData>
    <row r="1" spans="2:8" ht="15" thickBot="1" x14ac:dyDescent="0.4"/>
    <row r="2" spans="2:8" ht="14.5" customHeight="1" x14ac:dyDescent="0.35">
      <c r="B2" s="81"/>
      <c r="C2" s="100" t="s">
        <v>94</v>
      </c>
      <c r="D2" s="101"/>
      <c r="E2" s="101"/>
      <c r="F2" s="101"/>
      <c r="G2" s="102"/>
      <c r="H2" s="83"/>
    </row>
    <row r="3" spans="2:8" ht="14.5" customHeight="1" x14ac:dyDescent="0.35">
      <c r="B3" s="82"/>
      <c r="C3" s="103"/>
      <c r="D3" s="104"/>
      <c r="E3" s="104"/>
      <c r="F3" s="104"/>
      <c r="G3" s="105"/>
      <c r="H3" s="84"/>
    </row>
    <row r="4" spans="2:8" ht="14.5" customHeight="1" x14ac:dyDescent="0.35">
      <c r="B4" s="69" t="s">
        <v>93</v>
      </c>
      <c r="C4" s="98" t="s">
        <v>68</v>
      </c>
      <c r="D4" s="99"/>
      <c r="E4" s="99"/>
      <c r="F4" s="99"/>
      <c r="G4" s="85"/>
      <c r="H4" s="86"/>
    </row>
    <row r="5" spans="2:8" x14ac:dyDescent="0.35">
      <c r="B5" s="64"/>
      <c r="C5" s="70" t="s">
        <v>69</v>
      </c>
      <c r="D5" s="71"/>
      <c r="E5" s="71"/>
      <c r="F5" s="72"/>
      <c r="G5" s="92"/>
      <c r="H5" s="93"/>
    </row>
    <row r="6" spans="2:8" x14ac:dyDescent="0.35">
      <c r="B6" s="64"/>
      <c r="C6" s="70" t="s">
        <v>70</v>
      </c>
      <c r="D6" s="71"/>
      <c r="E6" s="71"/>
      <c r="F6" s="72"/>
      <c r="G6" s="94"/>
      <c r="H6" s="95"/>
    </row>
    <row r="7" spans="2:8" ht="28" customHeight="1" x14ac:dyDescent="0.35">
      <c r="B7" s="64"/>
      <c r="C7" s="36" t="s">
        <v>71</v>
      </c>
      <c r="D7" s="59" t="s">
        <v>95</v>
      </c>
      <c r="E7" s="36" t="s">
        <v>72</v>
      </c>
      <c r="F7" s="57"/>
      <c r="G7" s="94"/>
      <c r="H7" s="95"/>
    </row>
    <row r="8" spans="2:8" ht="15.5" x14ac:dyDescent="0.35">
      <c r="B8" s="64"/>
      <c r="C8" s="37" t="s">
        <v>74</v>
      </c>
      <c r="D8" s="35"/>
      <c r="E8" s="37" t="s">
        <v>75</v>
      </c>
      <c r="F8" s="7"/>
      <c r="G8" s="94"/>
      <c r="H8" s="95"/>
    </row>
    <row r="9" spans="2:8" ht="15.5" x14ac:dyDescent="0.35">
      <c r="B9" s="64"/>
      <c r="C9" s="37" t="s">
        <v>77</v>
      </c>
      <c r="D9" s="35"/>
      <c r="E9" s="65" t="s">
        <v>78</v>
      </c>
      <c r="F9" s="66"/>
      <c r="G9" s="96"/>
      <c r="H9" s="97"/>
    </row>
    <row r="10" spans="2:8" ht="15.5" x14ac:dyDescent="0.35">
      <c r="B10" s="64"/>
      <c r="C10" s="37" t="s">
        <v>68</v>
      </c>
      <c r="D10" s="35"/>
      <c r="E10" s="65" t="s">
        <v>68</v>
      </c>
      <c r="F10" s="66"/>
      <c r="G10" s="87"/>
      <c r="H10" s="88"/>
    </row>
    <row r="11" spans="2:8" ht="15.5" customHeight="1" x14ac:dyDescent="0.35">
      <c r="B11" s="63" t="s">
        <v>73</v>
      </c>
      <c r="C11" s="37" t="s">
        <v>79</v>
      </c>
      <c r="D11" s="38"/>
      <c r="E11" s="65" t="s">
        <v>70</v>
      </c>
      <c r="F11" s="66"/>
      <c r="G11" s="58" t="s">
        <v>76</v>
      </c>
      <c r="H11" s="20">
        <f ca="1">TODAY()</f>
        <v>44521</v>
      </c>
    </row>
    <row r="12" spans="2:8" x14ac:dyDescent="0.35">
      <c r="B12" s="64"/>
      <c r="C12" s="89"/>
      <c r="D12" s="90"/>
      <c r="E12" s="90"/>
      <c r="F12" s="90"/>
      <c r="G12" s="90"/>
      <c r="H12" s="91"/>
    </row>
    <row r="13" spans="2:8" x14ac:dyDescent="0.35">
      <c r="B13" s="64"/>
      <c r="C13" s="67" t="s">
        <v>80</v>
      </c>
      <c r="D13" s="61"/>
      <c r="E13" s="39" t="s">
        <v>81</v>
      </c>
      <c r="F13" s="67" t="s">
        <v>82</v>
      </c>
      <c r="G13" s="61"/>
      <c r="H13" s="48" t="s">
        <v>3</v>
      </c>
    </row>
    <row r="14" spans="2:8" x14ac:dyDescent="0.35">
      <c r="B14" s="64"/>
      <c r="C14" s="68"/>
      <c r="D14" s="61"/>
      <c r="E14" s="40"/>
      <c r="F14" s="73"/>
      <c r="G14" s="61"/>
      <c r="H14" s="49">
        <f t="shared" ref="H14:H24" si="0">E14*F14</f>
        <v>0</v>
      </c>
    </row>
    <row r="15" spans="2:8" x14ac:dyDescent="0.35">
      <c r="B15" s="64"/>
      <c r="C15" s="60"/>
      <c r="D15" s="61"/>
      <c r="E15" s="41"/>
      <c r="F15" s="62"/>
      <c r="G15" s="61"/>
      <c r="H15" s="49">
        <f t="shared" si="0"/>
        <v>0</v>
      </c>
    </row>
    <row r="16" spans="2:8" x14ac:dyDescent="0.35">
      <c r="B16" s="64"/>
      <c r="C16" s="68"/>
      <c r="D16" s="61"/>
      <c r="E16" s="40"/>
      <c r="F16" s="73"/>
      <c r="G16" s="61"/>
      <c r="H16" s="49">
        <f>E16*F16</f>
        <v>0</v>
      </c>
    </row>
    <row r="17" spans="2:8" x14ac:dyDescent="0.35">
      <c r="B17" s="64"/>
      <c r="C17" s="60"/>
      <c r="D17" s="61"/>
      <c r="E17" s="41"/>
      <c r="F17" s="62"/>
      <c r="G17" s="61"/>
      <c r="H17" s="49">
        <f t="shared" si="0"/>
        <v>0</v>
      </c>
    </row>
    <row r="18" spans="2:8" x14ac:dyDescent="0.35">
      <c r="B18" s="64"/>
      <c r="C18" s="68"/>
      <c r="D18" s="61"/>
      <c r="E18" s="40"/>
      <c r="F18" s="73"/>
      <c r="G18" s="61"/>
      <c r="H18" s="49">
        <f t="shared" si="0"/>
        <v>0</v>
      </c>
    </row>
    <row r="19" spans="2:8" x14ac:dyDescent="0.35">
      <c r="B19" s="64"/>
      <c r="C19" s="60"/>
      <c r="D19" s="61"/>
      <c r="E19" s="41"/>
      <c r="F19" s="62"/>
      <c r="G19" s="61"/>
      <c r="H19" s="49">
        <f t="shared" si="0"/>
        <v>0</v>
      </c>
    </row>
    <row r="20" spans="2:8" x14ac:dyDescent="0.35">
      <c r="B20" s="64"/>
      <c r="C20" s="68"/>
      <c r="D20" s="61"/>
      <c r="E20" s="40"/>
      <c r="F20" s="73"/>
      <c r="G20" s="61"/>
      <c r="H20" s="49">
        <f t="shared" si="0"/>
        <v>0</v>
      </c>
    </row>
    <row r="21" spans="2:8" x14ac:dyDescent="0.35">
      <c r="B21" s="64"/>
      <c r="C21" s="60"/>
      <c r="D21" s="61"/>
      <c r="E21" s="41"/>
      <c r="F21" s="62"/>
      <c r="G21" s="61"/>
      <c r="H21" s="49">
        <f t="shared" si="0"/>
        <v>0</v>
      </c>
    </row>
    <row r="22" spans="2:8" x14ac:dyDescent="0.35">
      <c r="B22" s="64"/>
      <c r="C22" s="68"/>
      <c r="D22" s="61"/>
      <c r="E22" s="40"/>
      <c r="F22" s="73"/>
      <c r="G22" s="61"/>
      <c r="H22" s="49">
        <f t="shared" si="0"/>
        <v>0</v>
      </c>
    </row>
    <row r="23" spans="2:8" x14ac:dyDescent="0.35">
      <c r="B23" s="64"/>
      <c r="C23" s="60"/>
      <c r="D23" s="61"/>
      <c r="E23" s="41"/>
      <c r="F23" s="62"/>
      <c r="G23" s="61"/>
      <c r="H23" s="49">
        <f t="shared" si="0"/>
        <v>0</v>
      </c>
    </row>
    <row r="24" spans="2:8" x14ac:dyDescent="0.35">
      <c r="B24" s="64"/>
      <c r="C24" s="68"/>
      <c r="D24" s="61"/>
      <c r="E24" s="40"/>
      <c r="F24" s="73"/>
      <c r="G24" s="61"/>
      <c r="H24" s="49">
        <f t="shared" si="0"/>
        <v>0</v>
      </c>
    </row>
    <row r="25" spans="2:8" ht="15.5" x14ac:dyDescent="0.35">
      <c r="B25" s="64"/>
      <c r="C25" s="42"/>
      <c r="D25" s="43"/>
      <c r="E25" s="44"/>
      <c r="F25" s="44"/>
      <c r="G25" s="45" t="s">
        <v>83</v>
      </c>
      <c r="H25" s="50">
        <f>SUM(H14:H24)</f>
        <v>0</v>
      </c>
    </row>
    <row r="26" spans="2:8" ht="15.5" x14ac:dyDescent="0.35">
      <c r="B26" s="64"/>
      <c r="C26" s="77" t="s">
        <v>84</v>
      </c>
      <c r="D26" s="66"/>
      <c r="E26" s="44"/>
      <c r="F26" s="44"/>
      <c r="G26" s="45" t="s">
        <v>85</v>
      </c>
      <c r="H26" s="50">
        <v>0</v>
      </c>
    </row>
    <row r="27" spans="2:8" ht="15.5" x14ac:dyDescent="0.35">
      <c r="B27" s="51"/>
      <c r="C27" s="66"/>
      <c r="D27" s="66"/>
      <c r="E27" s="44"/>
      <c r="F27" s="44"/>
      <c r="G27" s="45" t="s">
        <v>86</v>
      </c>
      <c r="H27" s="50">
        <f>H25-H26</f>
        <v>0</v>
      </c>
    </row>
    <row r="28" spans="2:8" ht="15.5" x14ac:dyDescent="0.35">
      <c r="B28" s="51"/>
      <c r="C28" s="66"/>
      <c r="D28" s="66"/>
      <c r="E28" s="44"/>
      <c r="F28" s="44"/>
      <c r="G28" s="45" t="s">
        <v>87</v>
      </c>
      <c r="H28" s="52">
        <v>0</v>
      </c>
    </row>
    <row r="29" spans="2:8" ht="15.5" x14ac:dyDescent="0.35">
      <c r="B29" s="51"/>
      <c r="C29" s="66"/>
      <c r="D29" s="66"/>
      <c r="E29" s="44"/>
      <c r="F29" s="44"/>
      <c r="G29" s="45" t="s">
        <v>88</v>
      </c>
      <c r="H29" s="50">
        <f>H27*H28</f>
        <v>0</v>
      </c>
    </row>
    <row r="30" spans="2:8" ht="15.5" x14ac:dyDescent="0.35">
      <c r="B30" s="51"/>
      <c r="C30" s="66"/>
      <c r="D30" s="66"/>
      <c r="E30" s="44"/>
      <c r="F30" s="44"/>
      <c r="G30" s="45" t="s">
        <v>89</v>
      </c>
      <c r="H30" s="53">
        <v>0</v>
      </c>
    </row>
    <row r="31" spans="2:8" ht="23" x14ac:dyDescent="0.35">
      <c r="B31" s="51"/>
      <c r="C31" s="78"/>
      <c r="D31" s="66"/>
      <c r="E31" s="44"/>
      <c r="F31" s="44"/>
      <c r="G31" s="46" t="s">
        <v>90</v>
      </c>
      <c r="H31" s="54">
        <f>H27+H29+H30</f>
        <v>0</v>
      </c>
    </row>
    <row r="32" spans="2:8" ht="15.5" x14ac:dyDescent="0.35">
      <c r="B32" s="51"/>
      <c r="C32" s="79"/>
      <c r="D32" s="66"/>
      <c r="E32" s="66"/>
      <c r="F32" s="66"/>
      <c r="G32" s="66"/>
      <c r="H32" s="80"/>
    </row>
    <row r="33" spans="2:8" ht="15.5" x14ac:dyDescent="0.35">
      <c r="B33" s="51"/>
      <c r="C33" s="36" t="s">
        <v>91</v>
      </c>
      <c r="D33" s="47"/>
      <c r="E33" s="47"/>
      <c r="F33" s="47"/>
      <c r="G33" s="47"/>
      <c r="H33" s="55"/>
    </row>
    <row r="34" spans="2:8" ht="15" thickBot="1" x14ac:dyDescent="0.4">
      <c r="B34" s="56"/>
      <c r="C34" s="74" t="s">
        <v>92</v>
      </c>
      <c r="D34" s="75"/>
      <c r="E34" s="75"/>
      <c r="F34" s="75"/>
      <c r="G34" s="75"/>
      <c r="H34" s="76"/>
    </row>
  </sheetData>
  <mergeCells count="43">
    <mergeCell ref="B2:B3"/>
    <mergeCell ref="H2:H3"/>
    <mergeCell ref="G4:H4"/>
    <mergeCell ref="G10:H10"/>
    <mergeCell ref="C12:H12"/>
    <mergeCell ref="G5:H9"/>
    <mergeCell ref="C4:F4"/>
    <mergeCell ref="C2:G3"/>
    <mergeCell ref="C20:D20"/>
    <mergeCell ref="F20:G20"/>
    <mergeCell ref="C34:H34"/>
    <mergeCell ref="C21:D21"/>
    <mergeCell ref="F21:G21"/>
    <mergeCell ref="C22:D22"/>
    <mergeCell ref="F22:G22"/>
    <mergeCell ref="C23:D23"/>
    <mergeCell ref="F23:G23"/>
    <mergeCell ref="C24:D24"/>
    <mergeCell ref="F24:G24"/>
    <mergeCell ref="C26:D30"/>
    <mergeCell ref="C31:D31"/>
    <mergeCell ref="C32:H32"/>
    <mergeCell ref="F16:G16"/>
    <mergeCell ref="C18:D18"/>
    <mergeCell ref="F18:G18"/>
    <mergeCell ref="C19:D19"/>
    <mergeCell ref="F19:G19"/>
    <mergeCell ref="C17:D17"/>
    <mergeCell ref="F17:G17"/>
    <mergeCell ref="B11:B26"/>
    <mergeCell ref="E9:F9"/>
    <mergeCell ref="E10:F10"/>
    <mergeCell ref="E11:F11"/>
    <mergeCell ref="C13:D13"/>
    <mergeCell ref="F13:G13"/>
    <mergeCell ref="C14:D14"/>
    <mergeCell ref="B4:B10"/>
    <mergeCell ref="C5:F5"/>
    <mergeCell ref="C6:F6"/>
    <mergeCell ref="F14:G14"/>
    <mergeCell ref="C15:D15"/>
    <mergeCell ref="F15:G15"/>
    <mergeCell ref="C16:D16"/>
  </mergeCells>
  <dataValidations count="1">
    <dataValidation type="textLength" allowBlank="1" showInputMessage="1" showErrorMessage="1" errorTitle="Error de Cedula" error="Ingrese correctamente la cedula..." prompt="Ingrese su cedula de identidad" sqref="D7" xr:uid="{6447C4B9-FF93-495D-BDB0-ECD0C1875365}">
      <formula1>10</formula1>
      <formula2>10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Hoja1</vt:lpstr>
      <vt:lpstr>Hoja3</vt:lpstr>
      <vt:lpstr>Hoja2</vt:lpstr>
      <vt:lpstr>Hoja6</vt:lpstr>
      <vt:lpstr>trasponer</vt:lpstr>
      <vt:lpstr>formato</vt:lpstr>
      <vt:lpstr>Hoja5</vt:lpstr>
      <vt:lpstr>factura</vt:lpstr>
      <vt:lpstr>Hoja1!Criterios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CB-D</dc:creator>
  <cp:lastModifiedBy>carlos arevalo espinoza</cp:lastModifiedBy>
  <dcterms:created xsi:type="dcterms:W3CDTF">2021-10-24T16:37:37Z</dcterms:created>
  <dcterms:modified xsi:type="dcterms:W3CDTF">2021-11-21T18:55:27Z</dcterms:modified>
</cp:coreProperties>
</file>